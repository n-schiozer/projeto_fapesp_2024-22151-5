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Codex\2026-07-15\crie-uma-tarefa-agendada-chamada-resumo\outputs\ABM BRASIL\demografia_empresas\"/>
    </mc:Choice>
  </mc:AlternateContent>
  <xr:revisionPtr revIDLastSave="0" documentId="13_ncr:1_{8F21786B-D0FE-4D32-AC68-4E4B00AFAE78}" xr6:coauthVersionLast="47" xr6:coauthVersionMax="47" xr10:uidLastSave="{00000000-0000-0000-0000-000000000000}"/>
  <bookViews>
    <workbookView xWindow="-120" yWindow="-120" windowWidth="29040" windowHeight="15720" xr2:uid="{68FD9B66-43F7-407A-9306-E7136E95A2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Q13" i="1" l="1"/>
  <c r="BQ7" i="1"/>
  <c r="BQ6" i="1"/>
  <c r="C22" i="1"/>
  <c r="C23" i="1"/>
  <c r="C24" i="1"/>
  <c r="C25" i="1"/>
  <c r="C26" i="1"/>
  <c r="C27" i="1"/>
  <c r="C62" i="1" s="1"/>
  <c r="C28" i="1"/>
  <c r="C29" i="1"/>
  <c r="C21" i="1"/>
  <c r="C56" i="1" s="1"/>
  <c r="D21" i="1"/>
  <c r="D56" i="1" s="1"/>
  <c r="B22" i="1"/>
  <c r="C58" i="1" l="1"/>
  <c r="C59" i="1"/>
  <c r="C60" i="1"/>
  <c r="C61" i="1"/>
  <c r="C63" i="1"/>
  <c r="C64" i="1"/>
  <c r="C57" i="1"/>
  <c r="Z18" i="1" s="1"/>
  <c r="C31" i="1"/>
  <c r="E21" i="1"/>
  <c r="E56" i="1" s="1"/>
  <c r="D26" i="1"/>
  <c r="B23" i="1"/>
  <c r="D22" i="1"/>
  <c r="D61" i="1" l="1"/>
  <c r="D57" i="1"/>
  <c r="C47" i="1"/>
  <c r="C67" i="1"/>
  <c r="C48" i="1"/>
  <c r="C68" i="1"/>
  <c r="C49" i="1"/>
  <c r="C69" i="1"/>
  <c r="C50" i="1"/>
  <c r="C70" i="1"/>
  <c r="C51" i="1"/>
  <c r="C71" i="1"/>
  <c r="C52" i="1"/>
  <c r="C72" i="1"/>
  <c r="C53" i="1"/>
  <c r="C73" i="1"/>
  <c r="C54" i="1"/>
  <c r="C74" i="1"/>
  <c r="D46" i="1"/>
  <c r="D66" i="1"/>
  <c r="C46" i="1"/>
  <c r="C66" i="1"/>
  <c r="C136" i="1" s="1"/>
  <c r="D67" i="1"/>
  <c r="D47" i="1"/>
  <c r="D27" i="1"/>
  <c r="F21" i="1"/>
  <c r="F56" i="1" s="1"/>
  <c r="E26" i="1"/>
  <c r="D23" i="1"/>
  <c r="B24" i="1"/>
  <c r="B25" i="1" s="1"/>
  <c r="D25" i="1" s="1"/>
  <c r="E22" i="1"/>
  <c r="D62" i="1" l="1"/>
  <c r="E61" i="1"/>
  <c r="D58" i="1"/>
  <c r="D60" i="1"/>
  <c r="E57" i="1"/>
  <c r="C77" i="1"/>
  <c r="C101" i="1"/>
  <c r="C102" i="1"/>
  <c r="C97" i="1"/>
  <c r="C98" i="1"/>
  <c r="C99" i="1"/>
  <c r="C100" i="1"/>
  <c r="C103" i="1"/>
  <c r="C104" i="1"/>
  <c r="C96" i="1"/>
  <c r="C91" i="1"/>
  <c r="C87" i="1"/>
  <c r="C88" i="1"/>
  <c r="C89" i="1"/>
  <c r="C90" i="1"/>
  <c r="C92" i="1"/>
  <c r="C93" i="1"/>
  <c r="C94" i="1"/>
  <c r="C86" i="1"/>
  <c r="C80" i="1"/>
  <c r="C81" i="1"/>
  <c r="C78" i="1"/>
  <c r="C79" i="1"/>
  <c r="C82" i="1"/>
  <c r="C83" i="1"/>
  <c r="C84" i="1"/>
  <c r="C76" i="1"/>
  <c r="D51" i="1"/>
  <c r="D71" i="1"/>
  <c r="E46" i="1"/>
  <c r="E66" i="1"/>
  <c r="E25" i="1"/>
  <c r="D28" i="1"/>
  <c r="E27" i="1"/>
  <c r="F26" i="1"/>
  <c r="G21" i="1"/>
  <c r="G56" i="1" s="1"/>
  <c r="D24" i="1"/>
  <c r="F22" i="1"/>
  <c r="E23" i="1"/>
  <c r="E60" i="1" l="1"/>
  <c r="D63" i="1"/>
  <c r="E62" i="1"/>
  <c r="F61" i="1"/>
  <c r="D59" i="1"/>
  <c r="F57" i="1"/>
  <c r="E58" i="1"/>
  <c r="C126" i="1"/>
  <c r="C134" i="1"/>
  <c r="C131" i="1"/>
  <c r="C132" i="1"/>
  <c r="C127" i="1"/>
  <c r="C128" i="1"/>
  <c r="C129" i="1"/>
  <c r="C130" i="1"/>
  <c r="C133" i="1"/>
  <c r="Z16" i="1"/>
  <c r="Z7" i="1"/>
  <c r="AW7" i="1" s="1"/>
  <c r="C108" i="1"/>
  <c r="C118" i="1" s="1"/>
  <c r="C109" i="1"/>
  <c r="C119" i="1" s="1"/>
  <c r="C112" i="1"/>
  <c r="C122" i="1" s="1"/>
  <c r="C113" i="1"/>
  <c r="C123" i="1" s="1"/>
  <c r="C110" i="1"/>
  <c r="C120" i="1" s="1"/>
  <c r="C111" i="1"/>
  <c r="C121" i="1" s="1"/>
  <c r="C107" i="1"/>
  <c r="C117" i="1" s="1"/>
  <c r="C114" i="1"/>
  <c r="C124" i="1" s="1"/>
  <c r="C106" i="1"/>
  <c r="C116" i="1" s="1"/>
  <c r="Z6" i="1"/>
  <c r="AW6" i="1" s="1"/>
  <c r="D52" i="1"/>
  <c r="D72" i="1"/>
  <c r="E51" i="1"/>
  <c r="E71" i="1"/>
  <c r="D48" i="1"/>
  <c r="D68" i="1"/>
  <c r="E47" i="1"/>
  <c r="E67" i="1"/>
  <c r="D50" i="1"/>
  <c r="D70" i="1"/>
  <c r="F46" i="1"/>
  <c r="F66" i="1"/>
  <c r="F25" i="1"/>
  <c r="D29" i="1"/>
  <c r="F27" i="1"/>
  <c r="G26" i="1"/>
  <c r="H21" i="1"/>
  <c r="H56" i="1" s="1"/>
  <c r="F23" i="1"/>
  <c r="E28" i="1"/>
  <c r="G22" i="1"/>
  <c r="E24" i="1"/>
  <c r="F60" i="1" l="1"/>
  <c r="F62" i="1"/>
  <c r="G61" i="1"/>
  <c r="F58" i="1"/>
  <c r="E63" i="1"/>
  <c r="G57" i="1"/>
  <c r="E59" i="1"/>
  <c r="C145" i="1"/>
  <c r="C155" i="1" s="1"/>
  <c r="C151" i="1"/>
  <c r="C161" i="1" s="1"/>
  <c r="C150" i="1"/>
  <c r="C160" i="1" s="1"/>
  <c r="C148" i="1"/>
  <c r="C158" i="1" s="1"/>
  <c r="C149" i="1"/>
  <c r="C159" i="1" s="1"/>
  <c r="C146" i="1"/>
  <c r="C156" i="1" s="1"/>
  <c r="C147" i="1"/>
  <c r="C157" i="1" s="1"/>
  <c r="C153" i="1"/>
  <c r="C163" i="1" s="1"/>
  <c r="C152" i="1"/>
  <c r="C162" i="1" s="1"/>
  <c r="Z13" i="1"/>
  <c r="AW13" i="1" s="1"/>
  <c r="F71" i="1"/>
  <c r="F51" i="1"/>
  <c r="D53" i="1"/>
  <c r="D73" i="1"/>
  <c r="E52" i="1"/>
  <c r="E72" i="1"/>
  <c r="D49" i="1"/>
  <c r="D69" i="1"/>
  <c r="F47" i="1"/>
  <c r="F67" i="1"/>
  <c r="E48" i="1"/>
  <c r="E68" i="1"/>
  <c r="E50" i="1"/>
  <c r="E70" i="1"/>
  <c r="G46" i="1"/>
  <c r="G66" i="1"/>
  <c r="D31" i="1"/>
  <c r="D64" i="1"/>
  <c r="AA18" i="1" s="1"/>
  <c r="D54" i="1"/>
  <c r="G25" i="1"/>
  <c r="G27" i="1"/>
  <c r="H26" i="1"/>
  <c r="I21" i="1"/>
  <c r="I56" i="1" s="1"/>
  <c r="F28" i="1"/>
  <c r="G23" i="1"/>
  <c r="F24" i="1"/>
  <c r="E29" i="1"/>
  <c r="H22" i="1"/>
  <c r="G60" i="1" l="1"/>
  <c r="G62" i="1"/>
  <c r="H61" i="1"/>
  <c r="F63" i="1"/>
  <c r="G58" i="1"/>
  <c r="F59" i="1"/>
  <c r="E64" i="1"/>
  <c r="AB18" i="1" s="1"/>
  <c r="H57" i="1"/>
  <c r="D74" i="1"/>
  <c r="F52" i="1"/>
  <c r="F72" i="1"/>
  <c r="G51" i="1"/>
  <c r="G71" i="1"/>
  <c r="F48" i="1"/>
  <c r="F68" i="1"/>
  <c r="E53" i="1"/>
  <c r="E73" i="1"/>
  <c r="G47" i="1"/>
  <c r="G67" i="1"/>
  <c r="E49" i="1"/>
  <c r="E69" i="1"/>
  <c r="F50" i="1"/>
  <c r="F70" i="1"/>
  <c r="H46" i="1"/>
  <c r="H66" i="1"/>
  <c r="H25" i="1"/>
  <c r="E31" i="1"/>
  <c r="H27" i="1"/>
  <c r="I26" i="1"/>
  <c r="J21" i="1"/>
  <c r="J56" i="1" s="1"/>
  <c r="G28" i="1"/>
  <c r="H23" i="1"/>
  <c r="F29" i="1"/>
  <c r="G24" i="1"/>
  <c r="I22" i="1"/>
  <c r="H60" i="1" l="1"/>
  <c r="H62" i="1"/>
  <c r="I61" i="1"/>
  <c r="G63" i="1"/>
  <c r="H58" i="1"/>
  <c r="F64" i="1"/>
  <c r="AC18" i="1" s="1"/>
  <c r="G59" i="1"/>
  <c r="I57" i="1"/>
  <c r="D96" i="1"/>
  <c r="D98" i="1"/>
  <c r="D101" i="1"/>
  <c r="D97" i="1"/>
  <c r="D103" i="1"/>
  <c r="D99" i="1"/>
  <c r="D102" i="1"/>
  <c r="D100" i="1"/>
  <c r="D104" i="1"/>
  <c r="D86" i="1"/>
  <c r="D88" i="1"/>
  <c r="D87" i="1"/>
  <c r="D91" i="1"/>
  <c r="D89" i="1"/>
  <c r="D90" i="1"/>
  <c r="D92" i="1"/>
  <c r="D94" i="1"/>
  <c r="D93" i="1"/>
  <c r="F73" i="1"/>
  <c r="F53" i="1"/>
  <c r="D76" i="1"/>
  <c r="D78" i="1"/>
  <c r="D77" i="1"/>
  <c r="D81" i="1"/>
  <c r="D82" i="1"/>
  <c r="D80" i="1"/>
  <c r="D79" i="1"/>
  <c r="D84" i="1"/>
  <c r="D83" i="1"/>
  <c r="H71" i="1"/>
  <c r="H51" i="1"/>
  <c r="G68" i="1"/>
  <c r="G48" i="1"/>
  <c r="G52" i="1"/>
  <c r="G72" i="1"/>
  <c r="F49" i="1"/>
  <c r="F69" i="1"/>
  <c r="H47" i="1"/>
  <c r="H67" i="1"/>
  <c r="G50" i="1"/>
  <c r="G70" i="1"/>
  <c r="E54" i="1"/>
  <c r="E74" i="1"/>
  <c r="I46" i="1"/>
  <c r="I66" i="1"/>
  <c r="I25" i="1"/>
  <c r="F31" i="1"/>
  <c r="I27" i="1"/>
  <c r="J26" i="1"/>
  <c r="K21" i="1"/>
  <c r="K56" i="1" s="1"/>
  <c r="H28" i="1"/>
  <c r="I23" i="1"/>
  <c r="G29" i="1"/>
  <c r="H24" i="1"/>
  <c r="J22" i="1"/>
  <c r="I60" i="1" l="1"/>
  <c r="I62" i="1"/>
  <c r="J61" i="1"/>
  <c r="H63" i="1"/>
  <c r="I58" i="1"/>
  <c r="G64" i="1"/>
  <c r="AD18" i="1" s="1"/>
  <c r="H59" i="1"/>
  <c r="J57" i="1"/>
  <c r="D126" i="1"/>
  <c r="D128" i="1"/>
  <c r="D131" i="1"/>
  <c r="D127" i="1"/>
  <c r="D129" i="1"/>
  <c r="D132" i="1"/>
  <c r="D134" i="1"/>
  <c r="D133" i="1"/>
  <c r="D130" i="1"/>
  <c r="AA16" i="1"/>
  <c r="AA7" i="1"/>
  <c r="AX7" i="1" s="1"/>
  <c r="D106" i="1"/>
  <c r="D116" i="1" s="1"/>
  <c r="D145" i="1" s="1"/>
  <c r="D155" i="1" s="1"/>
  <c r="AA6" i="1"/>
  <c r="AX6" i="1" s="1"/>
  <c r="D108" i="1"/>
  <c r="D118" i="1" s="1"/>
  <c r="D107" i="1"/>
  <c r="D117" i="1" s="1"/>
  <c r="D111" i="1"/>
  <c r="D121" i="1" s="1"/>
  <c r="D112" i="1"/>
  <c r="D122" i="1" s="1"/>
  <c r="D110" i="1"/>
  <c r="D120" i="1" s="1"/>
  <c r="D109" i="1"/>
  <c r="D119" i="1" s="1"/>
  <c r="D114" i="1"/>
  <c r="D124" i="1" s="1"/>
  <c r="D113" i="1"/>
  <c r="D123" i="1" s="1"/>
  <c r="E96" i="1"/>
  <c r="E98" i="1"/>
  <c r="E101" i="1"/>
  <c r="E99" i="1"/>
  <c r="E97" i="1"/>
  <c r="E100" i="1"/>
  <c r="E102" i="1"/>
  <c r="E104" i="1"/>
  <c r="E103" i="1"/>
  <c r="E89" i="1"/>
  <c r="E90" i="1"/>
  <c r="E92" i="1"/>
  <c r="E86" i="1"/>
  <c r="E94" i="1"/>
  <c r="E87" i="1"/>
  <c r="E88" i="1"/>
  <c r="E91" i="1"/>
  <c r="E93" i="1"/>
  <c r="E76" i="1"/>
  <c r="E77" i="1"/>
  <c r="E81" i="1"/>
  <c r="E78" i="1"/>
  <c r="E82" i="1"/>
  <c r="E83" i="1"/>
  <c r="E80" i="1"/>
  <c r="E79" i="1"/>
  <c r="E84" i="1"/>
  <c r="G73" i="1"/>
  <c r="G53" i="1"/>
  <c r="H68" i="1"/>
  <c r="H48" i="1"/>
  <c r="H52" i="1"/>
  <c r="H72" i="1"/>
  <c r="I51" i="1"/>
  <c r="I71" i="1"/>
  <c r="G49" i="1"/>
  <c r="G69" i="1"/>
  <c r="I47" i="1"/>
  <c r="I67" i="1"/>
  <c r="H50" i="1"/>
  <c r="H70" i="1"/>
  <c r="F54" i="1"/>
  <c r="F74" i="1"/>
  <c r="J46" i="1"/>
  <c r="J66" i="1"/>
  <c r="J25" i="1"/>
  <c r="G31" i="1"/>
  <c r="J27" i="1"/>
  <c r="K26" i="1"/>
  <c r="L21" i="1"/>
  <c r="L56" i="1" s="1"/>
  <c r="I28" i="1"/>
  <c r="J23" i="1"/>
  <c r="H29" i="1"/>
  <c r="I24" i="1"/>
  <c r="K22" i="1"/>
  <c r="D147" i="1" l="1"/>
  <c r="D157" i="1" s="1"/>
  <c r="D146" i="1"/>
  <c r="D156" i="1" s="1"/>
  <c r="D150" i="1"/>
  <c r="D160" i="1" s="1"/>
  <c r="J60" i="1"/>
  <c r="J62" i="1"/>
  <c r="K61" i="1"/>
  <c r="I63" i="1"/>
  <c r="J58" i="1"/>
  <c r="H64" i="1"/>
  <c r="AE18" i="1" s="1"/>
  <c r="I59" i="1"/>
  <c r="K57" i="1"/>
  <c r="D149" i="1"/>
  <c r="D159" i="1" s="1"/>
  <c r="D152" i="1"/>
  <c r="D162" i="1" s="1"/>
  <c r="D151" i="1"/>
  <c r="D161" i="1" s="1"/>
  <c r="D153" i="1"/>
  <c r="D163" i="1" s="1"/>
  <c r="D148" i="1"/>
  <c r="D158" i="1" s="1"/>
  <c r="E126" i="1"/>
  <c r="E131" i="1"/>
  <c r="E129" i="1"/>
  <c r="E127" i="1"/>
  <c r="E130" i="1"/>
  <c r="E134" i="1"/>
  <c r="E133" i="1"/>
  <c r="E128" i="1"/>
  <c r="E132" i="1"/>
  <c r="AB16" i="1"/>
  <c r="AB7" i="1"/>
  <c r="AY7" i="1" s="1"/>
  <c r="AB6" i="1"/>
  <c r="AY6" i="1" s="1"/>
  <c r="AA13" i="1"/>
  <c r="AX13" i="1" s="1"/>
  <c r="E106" i="1"/>
  <c r="E116" i="1" s="1"/>
  <c r="E107" i="1"/>
  <c r="E117" i="1" s="1"/>
  <c r="E111" i="1"/>
  <c r="E121" i="1" s="1"/>
  <c r="E108" i="1"/>
  <c r="E118" i="1" s="1"/>
  <c r="E112" i="1"/>
  <c r="E122" i="1" s="1"/>
  <c r="E113" i="1"/>
  <c r="E123" i="1" s="1"/>
  <c r="E110" i="1"/>
  <c r="E120" i="1" s="1"/>
  <c r="E109" i="1"/>
  <c r="E119" i="1" s="1"/>
  <c r="E114" i="1"/>
  <c r="E124" i="1" s="1"/>
  <c r="F97" i="1"/>
  <c r="F98" i="1"/>
  <c r="F101" i="1"/>
  <c r="F99" i="1"/>
  <c r="F102" i="1"/>
  <c r="F100" i="1"/>
  <c r="F96" i="1"/>
  <c r="F104" i="1"/>
  <c r="F103" i="1"/>
  <c r="F91" i="1"/>
  <c r="F93" i="1"/>
  <c r="F89" i="1"/>
  <c r="F87" i="1"/>
  <c r="F90" i="1"/>
  <c r="F88" i="1"/>
  <c r="F92" i="1"/>
  <c r="F86" i="1"/>
  <c r="F94" i="1"/>
  <c r="F78" i="1"/>
  <c r="F77" i="1"/>
  <c r="F81" i="1"/>
  <c r="F79" i="1"/>
  <c r="F82" i="1"/>
  <c r="F83" i="1"/>
  <c r="F80" i="1"/>
  <c r="F76" i="1"/>
  <c r="F84" i="1"/>
  <c r="K66" i="1"/>
  <c r="K46" i="1"/>
  <c r="I52" i="1"/>
  <c r="I72" i="1"/>
  <c r="J51" i="1"/>
  <c r="J71" i="1"/>
  <c r="H53" i="1"/>
  <c r="H73" i="1"/>
  <c r="I48" i="1"/>
  <c r="I68" i="1"/>
  <c r="H49" i="1"/>
  <c r="H69" i="1"/>
  <c r="J47" i="1"/>
  <c r="J67" i="1"/>
  <c r="I50" i="1"/>
  <c r="I70" i="1"/>
  <c r="G54" i="1"/>
  <c r="G74" i="1"/>
  <c r="K25" i="1"/>
  <c r="H31" i="1"/>
  <c r="K27" i="1"/>
  <c r="L26" i="1"/>
  <c r="M21" i="1"/>
  <c r="M56" i="1" s="1"/>
  <c r="J28" i="1"/>
  <c r="K23" i="1"/>
  <c r="I29" i="1"/>
  <c r="J24" i="1"/>
  <c r="L22" i="1"/>
  <c r="K60" i="1" l="1"/>
  <c r="K62" i="1"/>
  <c r="L61" i="1"/>
  <c r="J63" i="1"/>
  <c r="K58" i="1"/>
  <c r="I64" i="1"/>
  <c r="AF18" i="1" s="1"/>
  <c r="J59" i="1"/>
  <c r="L57" i="1"/>
  <c r="E145" i="1"/>
  <c r="E155" i="1" s="1"/>
  <c r="E146" i="1"/>
  <c r="E156" i="1" s="1"/>
  <c r="E150" i="1"/>
  <c r="E160" i="1" s="1"/>
  <c r="E147" i="1"/>
  <c r="E157" i="1" s="1"/>
  <c r="E151" i="1"/>
  <c r="E161" i="1" s="1"/>
  <c r="E152" i="1"/>
  <c r="E162" i="1" s="1"/>
  <c r="E149" i="1"/>
  <c r="E159" i="1" s="1"/>
  <c r="E148" i="1"/>
  <c r="E158" i="1" s="1"/>
  <c r="E153" i="1"/>
  <c r="E163" i="1" s="1"/>
  <c r="F127" i="1"/>
  <c r="F128" i="1"/>
  <c r="F131" i="1"/>
  <c r="F129" i="1"/>
  <c r="F132" i="1"/>
  <c r="F130" i="1"/>
  <c r="F126" i="1"/>
  <c r="F134" i="1"/>
  <c r="F133" i="1"/>
  <c r="AC16" i="1"/>
  <c r="AC6" i="1"/>
  <c r="AZ6" i="1" s="1"/>
  <c r="AC7" i="1"/>
  <c r="AZ7" i="1" s="1"/>
  <c r="AB13" i="1"/>
  <c r="AY13" i="1" s="1"/>
  <c r="F108" i="1"/>
  <c r="F118" i="1" s="1"/>
  <c r="F147" i="1" s="1"/>
  <c r="F157" i="1" s="1"/>
  <c r="F107" i="1"/>
  <c r="F117" i="1" s="1"/>
  <c r="F146" i="1" s="1"/>
  <c r="F156" i="1" s="1"/>
  <c r="F111" i="1"/>
  <c r="F121" i="1" s="1"/>
  <c r="F150" i="1" s="1"/>
  <c r="F160" i="1" s="1"/>
  <c r="F109" i="1"/>
  <c r="F119" i="1" s="1"/>
  <c r="F148" i="1" s="1"/>
  <c r="F158" i="1" s="1"/>
  <c r="F112" i="1"/>
  <c r="F122" i="1" s="1"/>
  <c r="F151" i="1" s="1"/>
  <c r="F161" i="1" s="1"/>
  <c r="F113" i="1"/>
  <c r="F123" i="1" s="1"/>
  <c r="F152" i="1" s="1"/>
  <c r="F162" i="1" s="1"/>
  <c r="F110" i="1"/>
  <c r="F120" i="1" s="1"/>
  <c r="F149" i="1" s="1"/>
  <c r="F159" i="1" s="1"/>
  <c r="F106" i="1"/>
  <c r="F116" i="1" s="1"/>
  <c r="F145" i="1" s="1"/>
  <c r="F155" i="1" s="1"/>
  <c r="F114" i="1"/>
  <c r="F124" i="1" s="1"/>
  <c r="F153" i="1" s="1"/>
  <c r="F163" i="1" s="1"/>
  <c r="G96" i="1"/>
  <c r="G98" i="1"/>
  <c r="G101" i="1"/>
  <c r="G97" i="1"/>
  <c r="G99" i="1"/>
  <c r="G102" i="1"/>
  <c r="G100" i="1"/>
  <c r="G104" i="1"/>
  <c r="G103" i="1"/>
  <c r="G86" i="1"/>
  <c r="G89" i="1"/>
  <c r="G87" i="1"/>
  <c r="G92" i="1"/>
  <c r="G90" i="1"/>
  <c r="G94" i="1"/>
  <c r="G88" i="1"/>
  <c r="G91" i="1"/>
  <c r="G93" i="1"/>
  <c r="G79" i="1"/>
  <c r="G82" i="1"/>
  <c r="G80" i="1"/>
  <c r="L66" i="1"/>
  <c r="L46" i="1"/>
  <c r="K67" i="1"/>
  <c r="K47" i="1"/>
  <c r="G76" i="1"/>
  <c r="G84" i="1"/>
  <c r="G81" i="1"/>
  <c r="G77" i="1"/>
  <c r="G78" i="1"/>
  <c r="G83" i="1"/>
  <c r="J72" i="1"/>
  <c r="J52" i="1"/>
  <c r="K51" i="1"/>
  <c r="K71" i="1"/>
  <c r="I53" i="1"/>
  <c r="I73" i="1"/>
  <c r="J48" i="1"/>
  <c r="J68" i="1"/>
  <c r="I49" i="1"/>
  <c r="I69" i="1"/>
  <c r="J50" i="1"/>
  <c r="J70" i="1"/>
  <c r="H54" i="1"/>
  <c r="H74" i="1"/>
  <c r="L25" i="1"/>
  <c r="I31" i="1"/>
  <c r="L27" i="1"/>
  <c r="M26" i="1"/>
  <c r="N21" i="1"/>
  <c r="N56" i="1" s="1"/>
  <c r="K28" i="1"/>
  <c r="L23" i="1"/>
  <c r="J29" i="1"/>
  <c r="K24" i="1"/>
  <c r="M22" i="1"/>
  <c r="L60" i="1" l="1"/>
  <c r="L62" i="1"/>
  <c r="M61" i="1"/>
  <c r="K63" i="1"/>
  <c r="L58" i="1"/>
  <c r="J64" i="1"/>
  <c r="AG18" i="1" s="1"/>
  <c r="K59" i="1"/>
  <c r="M57" i="1"/>
  <c r="G107" i="1"/>
  <c r="G117" i="1" s="1"/>
  <c r="G108" i="1"/>
  <c r="G118" i="1" s="1"/>
  <c r="G113" i="1"/>
  <c r="G123" i="1" s="1"/>
  <c r="G112" i="1"/>
  <c r="G122" i="1" s="1"/>
  <c r="G127" i="1"/>
  <c r="G130" i="1"/>
  <c r="G126" i="1"/>
  <c r="G128" i="1"/>
  <c r="G131" i="1"/>
  <c r="G129" i="1"/>
  <c r="G132" i="1"/>
  <c r="G134" i="1"/>
  <c r="G133" i="1"/>
  <c r="G111" i="1"/>
  <c r="G121" i="1" s="1"/>
  <c r="G114" i="1"/>
  <c r="G124" i="1" s="1"/>
  <c r="G109" i="1"/>
  <c r="G119" i="1" s="1"/>
  <c r="AC13" i="1"/>
  <c r="AZ13" i="1" s="1"/>
  <c r="AD16" i="1"/>
  <c r="AD7" i="1"/>
  <c r="BA7" i="1" s="1"/>
  <c r="G110" i="1"/>
  <c r="G120" i="1" s="1"/>
  <c r="G106" i="1"/>
  <c r="AD6" i="1"/>
  <c r="BA6" i="1" s="1"/>
  <c r="H96" i="1"/>
  <c r="H98" i="1"/>
  <c r="H99" i="1"/>
  <c r="H97" i="1"/>
  <c r="H100" i="1"/>
  <c r="H101" i="1"/>
  <c r="H102" i="1"/>
  <c r="H104" i="1"/>
  <c r="H103" i="1"/>
  <c r="H86" i="1"/>
  <c r="H88" i="1"/>
  <c r="H91" i="1"/>
  <c r="H89" i="1"/>
  <c r="H92" i="1"/>
  <c r="H90" i="1"/>
  <c r="H87" i="1"/>
  <c r="H94" i="1"/>
  <c r="H93" i="1"/>
  <c r="H76" i="1"/>
  <c r="H79" i="1"/>
  <c r="H77" i="1"/>
  <c r="H82" i="1"/>
  <c r="H80" i="1"/>
  <c r="H84" i="1"/>
  <c r="H78" i="1"/>
  <c r="H81" i="1"/>
  <c r="H83" i="1"/>
  <c r="K52" i="1"/>
  <c r="K72" i="1"/>
  <c r="L51" i="1"/>
  <c r="L71" i="1"/>
  <c r="J53" i="1"/>
  <c r="J73" i="1"/>
  <c r="K48" i="1"/>
  <c r="K68" i="1"/>
  <c r="J49" i="1"/>
  <c r="J69" i="1"/>
  <c r="L47" i="1"/>
  <c r="L67" i="1"/>
  <c r="K50" i="1"/>
  <c r="K70" i="1"/>
  <c r="I54" i="1"/>
  <c r="I74" i="1"/>
  <c r="M46" i="1"/>
  <c r="M66" i="1"/>
  <c r="M25" i="1"/>
  <c r="J31" i="1"/>
  <c r="M27" i="1"/>
  <c r="N26" i="1"/>
  <c r="O21" i="1"/>
  <c r="O56" i="1" s="1"/>
  <c r="L28" i="1"/>
  <c r="M23" i="1"/>
  <c r="K29" i="1"/>
  <c r="L24" i="1"/>
  <c r="N22" i="1"/>
  <c r="M60" i="1" l="1"/>
  <c r="M62" i="1"/>
  <c r="N61" i="1"/>
  <c r="L63" i="1"/>
  <c r="M58" i="1"/>
  <c r="K64" i="1"/>
  <c r="AH18" i="1" s="1"/>
  <c r="L59" i="1"/>
  <c r="N57" i="1"/>
  <c r="G152" i="1"/>
  <c r="G162" i="1" s="1"/>
  <c r="G150" i="1"/>
  <c r="G160" i="1" s="1"/>
  <c r="G149" i="1"/>
  <c r="G159" i="1" s="1"/>
  <c r="G153" i="1"/>
  <c r="G163" i="1" s="1"/>
  <c r="G148" i="1"/>
  <c r="G158" i="1" s="1"/>
  <c r="G151" i="1"/>
  <c r="G161" i="1" s="1"/>
  <c r="H129" i="1"/>
  <c r="H127" i="1"/>
  <c r="H130" i="1"/>
  <c r="H131" i="1"/>
  <c r="H132" i="1"/>
  <c r="H134" i="1"/>
  <c r="H133" i="1"/>
  <c r="G146" i="1"/>
  <c r="G156" i="1" s="1"/>
  <c r="G147" i="1"/>
  <c r="G157" i="1" s="1"/>
  <c r="H126" i="1"/>
  <c r="H128" i="1"/>
  <c r="AD13" i="1"/>
  <c r="BA13" i="1" s="1"/>
  <c r="G116" i="1"/>
  <c r="G145" i="1" s="1"/>
  <c r="G155" i="1" s="1"/>
  <c r="AE16" i="1"/>
  <c r="AE7" i="1"/>
  <c r="BB7" i="1" s="1"/>
  <c r="AE6" i="1"/>
  <c r="BB6" i="1" s="1"/>
  <c r="H109" i="1"/>
  <c r="H119" i="1" s="1"/>
  <c r="H107" i="1"/>
  <c r="H117" i="1" s="1"/>
  <c r="H112" i="1"/>
  <c r="H122" i="1" s="1"/>
  <c r="H113" i="1"/>
  <c r="H123" i="1" s="1"/>
  <c r="H110" i="1"/>
  <c r="H120" i="1" s="1"/>
  <c r="H114" i="1"/>
  <c r="H124" i="1" s="1"/>
  <c r="H108" i="1"/>
  <c r="H118" i="1" s="1"/>
  <c r="H111" i="1"/>
  <c r="H121" i="1" s="1"/>
  <c r="H106" i="1"/>
  <c r="I98" i="1"/>
  <c r="I97" i="1"/>
  <c r="I101" i="1"/>
  <c r="I99" i="1"/>
  <c r="I102" i="1"/>
  <c r="I100" i="1"/>
  <c r="I96" i="1"/>
  <c r="I104" i="1"/>
  <c r="I103" i="1"/>
  <c r="I88" i="1"/>
  <c r="I91" i="1"/>
  <c r="I89" i="1"/>
  <c r="I87" i="1"/>
  <c r="I90" i="1"/>
  <c r="I92" i="1"/>
  <c r="I86" i="1"/>
  <c r="I94" i="1"/>
  <c r="I93" i="1"/>
  <c r="I78" i="1"/>
  <c r="I81" i="1"/>
  <c r="I79" i="1"/>
  <c r="I77" i="1"/>
  <c r="I82" i="1"/>
  <c r="I80" i="1"/>
  <c r="I76" i="1"/>
  <c r="I84" i="1"/>
  <c r="I83" i="1"/>
  <c r="L52" i="1"/>
  <c r="L72" i="1"/>
  <c r="M51" i="1"/>
  <c r="M71" i="1"/>
  <c r="K53" i="1"/>
  <c r="K73" i="1"/>
  <c r="L48" i="1"/>
  <c r="L68" i="1"/>
  <c r="K49" i="1"/>
  <c r="K69" i="1"/>
  <c r="M47" i="1"/>
  <c r="M67" i="1"/>
  <c r="L50" i="1"/>
  <c r="L70" i="1"/>
  <c r="J54" i="1"/>
  <c r="J74" i="1"/>
  <c r="N46" i="1"/>
  <c r="N66" i="1"/>
  <c r="N25" i="1"/>
  <c r="K31" i="1"/>
  <c r="N27" i="1"/>
  <c r="O26" i="1"/>
  <c r="P21" i="1"/>
  <c r="P56" i="1" s="1"/>
  <c r="M28" i="1"/>
  <c r="N23" i="1"/>
  <c r="L29" i="1"/>
  <c r="M24" i="1"/>
  <c r="O22" i="1"/>
  <c r="N60" i="1" l="1"/>
  <c r="N62" i="1"/>
  <c r="O61" i="1"/>
  <c r="M63" i="1"/>
  <c r="N58" i="1"/>
  <c r="L64" i="1"/>
  <c r="AI18" i="1" s="1"/>
  <c r="M59" i="1"/>
  <c r="O57" i="1"/>
  <c r="H149" i="1"/>
  <c r="H159" i="1" s="1"/>
  <c r="H153" i="1"/>
  <c r="H163" i="1" s="1"/>
  <c r="H148" i="1"/>
  <c r="H158" i="1" s="1"/>
  <c r="H146" i="1"/>
  <c r="H156" i="1" s="1"/>
  <c r="H151" i="1"/>
  <c r="H161" i="1" s="1"/>
  <c r="H152" i="1"/>
  <c r="H162" i="1" s="1"/>
  <c r="H147" i="1"/>
  <c r="H157" i="1" s="1"/>
  <c r="H150" i="1"/>
  <c r="H160" i="1" s="1"/>
  <c r="I131" i="1"/>
  <c r="I127" i="1"/>
  <c r="I132" i="1"/>
  <c r="I128" i="1"/>
  <c r="I130" i="1"/>
  <c r="I126" i="1"/>
  <c r="I134" i="1"/>
  <c r="I133" i="1"/>
  <c r="I129" i="1"/>
  <c r="AE13" i="1"/>
  <c r="BB13" i="1" s="1"/>
  <c r="H116" i="1"/>
  <c r="H145" i="1" s="1"/>
  <c r="H155" i="1" s="1"/>
  <c r="I110" i="1"/>
  <c r="I120" i="1" s="1"/>
  <c r="I114" i="1"/>
  <c r="I124" i="1" s="1"/>
  <c r="I113" i="1"/>
  <c r="I123" i="1" s="1"/>
  <c r="AF7" i="1"/>
  <c r="BC7" i="1" s="1"/>
  <c r="AF16" i="1"/>
  <c r="I112" i="1"/>
  <c r="I122" i="1" s="1"/>
  <c r="I106" i="1"/>
  <c r="I116" i="1" s="1"/>
  <c r="AF6" i="1"/>
  <c r="BC6" i="1" s="1"/>
  <c r="I108" i="1"/>
  <c r="I118" i="1" s="1"/>
  <c r="I111" i="1"/>
  <c r="I121" i="1" s="1"/>
  <c r="I109" i="1"/>
  <c r="I119" i="1" s="1"/>
  <c r="I107" i="1"/>
  <c r="I117" i="1" s="1"/>
  <c r="J96" i="1"/>
  <c r="J99" i="1"/>
  <c r="J102" i="1"/>
  <c r="J100" i="1"/>
  <c r="J104" i="1"/>
  <c r="J97" i="1"/>
  <c r="J98" i="1"/>
  <c r="J101" i="1"/>
  <c r="J103" i="1"/>
  <c r="J86" i="1"/>
  <c r="J89" i="1"/>
  <c r="J92" i="1"/>
  <c r="J90" i="1"/>
  <c r="J94" i="1"/>
  <c r="J88" i="1"/>
  <c r="J91" i="1"/>
  <c r="J87" i="1"/>
  <c r="J93" i="1"/>
  <c r="J79" i="1"/>
  <c r="J82" i="1"/>
  <c r="J80" i="1"/>
  <c r="J76" i="1"/>
  <c r="J84" i="1"/>
  <c r="J77" i="1"/>
  <c r="J78" i="1"/>
  <c r="J81" i="1"/>
  <c r="J83" i="1"/>
  <c r="M52" i="1"/>
  <c r="M72" i="1"/>
  <c r="N51" i="1"/>
  <c r="N71" i="1"/>
  <c r="L53" i="1"/>
  <c r="L73" i="1"/>
  <c r="M48" i="1"/>
  <c r="M68" i="1"/>
  <c r="L49" i="1"/>
  <c r="L69" i="1"/>
  <c r="N47" i="1"/>
  <c r="N67" i="1"/>
  <c r="M50" i="1"/>
  <c r="M70" i="1"/>
  <c r="K54" i="1"/>
  <c r="K74" i="1"/>
  <c r="O46" i="1"/>
  <c r="O66" i="1"/>
  <c r="O25" i="1"/>
  <c r="L31" i="1"/>
  <c r="O27" i="1"/>
  <c r="P26" i="1"/>
  <c r="Q21" i="1"/>
  <c r="Q56" i="1" s="1"/>
  <c r="N28" i="1"/>
  <c r="O23" i="1"/>
  <c r="M29" i="1"/>
  <c r="N24" i="1"/>
  <c r="P22" i="1"/>
  <c r="O60" i="1" l="1"/>
  <c r="O62" i="1"/>
  <c r="P61" i="1"/>
  <c r="N63" i="1"/>
  <c r="O58" i="1"/>
  <c r="M64" i="1"/>
  <c r="AJ18" i="1" s="1"/>
  <c r="N59" i="1"/>
  <c r="P57" i="1"/>
  <c r="I149" i="1"/>
  <c r="I159" i="1" s="1"/>
  <c r="I153" i="1"/>
  <c r="I163" i="1" s="1"/>
  <c r="I152" i="1"/>
  <c r="I162" i="1" s="1"/>
  <c r="I151" i="1"/>
  <c r="I161" i="1" s="1"/>
  <c r="I145" i="1"/>
  <c r="I155" i="1" s="1"/>
  <c r="I147" i="1"/>
  <c r="I157" i="1" s="1"/>
  <c r="I150" i="1"/>
  <c r="I160" i="1" s="1"/>
  <c r="I148" i="1"/>
  <c r="I158" i="1" s="1"/>
  <c r="I146" i="1"/>
  <c r="I156" i="1" s="1"/>
  <c r="J131" i="1"/>
  <c r="J133" i="1"/>
  <c r="J126" i="1"/>
  <c r="J129" i="1"/>
  <c r="J132" i="1"/>
  <c r="J130" i="1"/>
  <c r="J134" i="1"/>
  <c r="J127" i="1"/>
  <c r="J128" i="1"/>
  <c r="J109" i="1"/>
  <c r="J119" i="1" s="1"/>
  <c r="AG16" i="1"/>
  <c r="AG7" i="1"/>
  <c r="BD7" i="1" s="1"/>
  <c r="AG6" i="1"/>
  <c r="BD6" i="1" s="1"/>
  <c r="AF13" i="1"/>
  <c r="BC13" i="1" s="1"/>
  <c r="J112" i="1"/>
  <c r="J122" i="1" s="1"/>
  <c r="J110" i="1"/>
  <c r="J120" i="1" s="1"/>
  <c r="J114" i="1"/>
  <c r="J124" i="1" s="1"/>
  <c r="J107" i="1"/>
  <c r="J117" i="1" s="1"/>
  <c r="J108" i="1"/>
  <c r="J118" i="1" s="1"/>
  <c r="J106" i="1"/>
  <c r="J116" i="1" s="1"/>
  <c r="J111" i="1"/>
  <c r="J121" i="1" s="1"/>
  <c r="J113" i="1"/>
  <c r="J123" i="1" s="1"/>
  <c r="K96" i="1"/>
  <c r="K101" i="1"/>
  <c r="K98" i="1"/>
  <c r="K99" i="1"/>
  <c r="K97" i="1"/>
  <c r="K102" i="1"/>
  <c r="K100" i="1"/>
  <c r="K104" i="1"/>
  <c r="K103" i="1"/>
  <c r="K86" i="1"/>
  <c r="K88" i="1"/>
  <c r="K90" i="1"/>
  <c r="K91" i="1"/>
  <c r="K89" i="1"/>
  <c r="K87" i="1"/>
  <c r="K92" i="1"/>
  <c r="K94" i="1"/>
  <c r="K93" i="1"/>
  <c r="O71" i="1"/>
  <c r="O51" i="1"/>
  <c r="K76" i="1"/>
  <c r="K79" i="1"/>
  <c r="K80" i="1"/>
  <c r="K82" i="1"/>
  <c r="K84" i="1"/>
  <c r="K78" i="1"/>
  <c r="K77" i="1"/>
  <c r="K81" i="1"/>
  <c r="K83" i="1"/>
  <c r="N72" i="1"/>
  <c r="N52" i="1"/>
  <c r="M53" i="1"/>
  <c r="M73" i="1"/>
  <c r="N48" i="1"/>
  <c r="N68" i="1"/>
  <c r="M49" i="1"/>
  <c r="M69" i="1"/>
  <c r="O47" i="1"/>
  <c r="O67" i="1"/>
  <c r="N50" i="1"/>
  <c r="N70" i="1"/>
  <c r="L54" i="1"/>
  <c r="L74" i="1"/>
  <c r="P46" i="1"/>
  <c r="P66" i="1"/>
  <c r="P25" i="1"/>
  <c r="M31" i="1"/>
  <c r="P27" i="1"/>
  <c r="Q26" i="1"/>
  <c r="R21" i="1"/>
  <c r="R56" i="1" s="1"/>
  <c r="O28" i="1"/>
  <c r="P23" i="1"/>
  <c r="N29" i="1"/>
  <c r="O24" i="1"/>
  <c r="Q22" i="1"/>
  <c r="P60" i="1" l="1"/>
  <c r="P62" i="1"/>
  <c r="Q61" i="1"/>
  <c r="O63" i="1"/>
  <c r="P58" i="1"/>
  <c r="N64" i="1"/>
  <c r="AK18" i="1" s="1"/>
  <c r="O59" i="1"/>
  <c r="Q57" i="1"/>
  <c r="J151" i="1"/>
  <c r="J161" i="1" s="1"/>
  <c r="J149" i="1"/>
  <c r="J159" i="1" s="1"/>
  <c r="J148" i="1"/>
  <c r="J158" i="1" s="1"/>
  <c r="J153" i="1"/>
  <c r="J163" i="1" s="1"/>
  <c r="J146" i="1"/>
  <c r="J156" i="1" s="1"/>
  <c r="J147" i="1"/>
  <c r="J157" i="1" s="1"/>
  <c r="J150" i="1"/>
  <c r="J160" i="1" s="1"/>
  <c r="J152" i="1"/>
  <c r="J162" i="1" s="1"/>
  <c r="J145" i="1"/>
  <c r="J155" i="1" s="1"/>
  <c r="K126" i="1"/>
  <c r="K131" i="1"/>
  <c r="K128" i="1"/>
  <c r="K129" i="1"/>
  <c r="K127" i="1"/>
  <c r="K132" i="1"/>
  <c r="K134" i="1"/>
  <c r="K133" i="1"/>
  <c r="K130" i="1"/>
  <c r="AH7" i="1"/>
  <c r="BE7" i="1" s="1"/>
  <c r="AH6" i="1"/>
  <c r="BE6" i="1" s="1"/>
  <c r="AG13" i="1"/>
  <c r="BD13" i="1" s="1"/>
  <c r="AH16" i="1"/>
  <c r="K106" i="1"/>
  <c r="K116" i="1" s="1"/>
  <c r="K109" i="1"/>
  <c r="K119" i="1" s="1"/>
  <c r="K110" i="1"/>
  <c r="K120" i="1" s="1"/>
  <c r="K112" i="1"/>
  <c r="K122" i="1" s="1"/>
  <c r="K114" i="1"/>
  <c r="K124" i="1" s="1"/>
  <c r="K108" i="1"/>
  <c r="K118" i="1" s="1"/>
  <c r="K107" i="1"/>
  <c r="K117" i="1" s="1"/>
  <c r="K111" i="1"/>
  <c r="K121" i="1" s="1"/>
  <c r="K113" i="1"/>
  <c r="K123" i="1" s="1"/>
  <c r="L96" i="1"/>
  <c r="L97" i="1"/>
  <c r="L98" i="1"/>
  <c r="L101" i="1"/>
  <c r="L99" i="1"/>
  <c r="L102" i="1"/>
  <c r="L100" i="1"/>
  <c r="L104" i="1"/>
  <c r="L103" i="1"/>
  <c r="L87" i="1"/>
  <c r="L88" i="1"/>
  <c r="L91" i="1"/>
  <c r="L89" i="1"/>
  <c r="L92" i="1"/>
  <c r="L90" i="1"/>
  <c r="L86" i="1"/>
  <c r="L94" i="1"/>
  <c r="L93" i="1"/>
  <c r="L76" i="1"/>
  <c r="L78" i="1"/>
  <c r="L81" i="1"/>
  <c r="L79" i="1"/>
  <c r="L77" i="1"/>
  <c r="L82" i="1"/>
  <c r="L80" i="1"/>
  <c r="L84" i="1"/>
  <c r="L83" i="1"/>
  <c r="O52" i="1"/>
  <c r="O72" i="1"/>
  <c r="P51" i="1"/>
  <c r="P71" i="1"/>
  <c r="N53" i="1"/>
  <c r="N73" i="1"/>
  <c r="O48" i="1"/>
  <c r="O68" i="1"/>
  <c r="N49" i="1"/>
  <c r="N69" i="1"/>
  <c r="P47" i="1"/>
  <c r="P67" i="1"/>
  <c r="O50" i="1"/>
  <c r="O70" i="1"/>
  <c r="M54" i="1"/>
  <c r="M74" i="1"/>
  <c r="Q46" i="1"/>
  <c r="Q66" i="1"/>
  <c r="Q25" i="1"/>
  <c r="N31" i="1"/>
  <c r="Q27" i="1"/>
  <c r="R26" i="1"/>
  <c r="S21" i="1"/>
  <c r="S56" i="1" s="1"/>
  <c r="P28" i="1"/>
  <c r="Q23" i="1"/>
  <c r="O29" i="1"/>
  <c r="P24" i="1"/>
  <c r="R22" i="1"/>
  <c r="Q60" i="1" l="1"/>
  <c r="Q62" i="1"/>
  <c r="R61" i="1"/>
  <c r="P63" i="1"/>
  <c r="Q58" i="1"/>
  <c r="O64" i="1"/>
  <c r="AL18" i="1" s="1"/>
  <c r="P59" i="1"/>
  <c r="R57" i="1"/>
  <c r="K153" i="1"/>
  <c r="K163" i="1" s="1"/>
  <c r="K152" i="1"/>
  <c r="K162" i="1" s="1"/>
  <c r="K145" i="1"/>
  <c r="K155" i="1" s="1"/>
  <c r="K148" i="1"/>
  <c r="K158" i="1" s="1"/>
  <c r="K149" i="1"/>
  <c r="K159" i="1" s="1"/>
  <c r="K151" i="1"/>
  <c r="K161" i="1" s="1"/>
  <c r="K147" i="1"/>
  <c r="K157" i="1" s="1"/>
  <c r="K146" i="1"/>
  <c r="K156" i="1" s="1"/>
  <c r="K150" i="1"/>
  <c r="K160" i="1" s="1"/>
  <c r="L126" i="1"/>
  <c r="L128" i="1"/>
  <c r="L129" i="1"/>
  <c r="L134" i="1"/>
  <c r="L130" i="1"/>
  <c r="L127" i="1"/>
  <c r="L131" i="1"/>
  <c r="L132" i="1"/>
  <c r="L133" i="1"/>
  <c r="AI7" i="1"/>
  <c r="BF7" i="1" s="1"/>
  <c r="AI16" i="1"/>
  <c r="AI6" i="1"/>
  <c r="BF6" i="1" s="1"/>
  <c r="AH13" i="1"/>
  <c r="BE13" i="1" s="1"/>
  <c r="L108" i="1"/>
  <c r="L118" i="1" s="1"/>
  <c r="L106" i="1"/>
  <c r="L116" i="1" s="1"/>
  <c r="L111" i="1"/>
  <c r="L121" i="1" s="1"/>
  <c r="L109" i="1"/>
  <c r="L119" i="1" s="1"/>
  <c r="L107" i="1"/>
  <c r="L117" i="1" s="1"/>
  <c r="L112" i="1"/>
  <c r="L122" i="1" s="1"/>
  <c r="L110" i="1"/>
  <c r="L120" i="1" s="1"/>
  <c r="L114" i="1"/>
  <c r="L124" i="1" s="1"/>
  <c r="L113" i="1"/>
  <c r="L123" i="1" s="1"/>
  <c r="M98" i="1"/>
  <c r="M101" i="1"/>
  <c r="M99" i="1"/>
  <c r="M97" i="1"/>
  <c r="M102" i="1"/>
  <c r="M100" i="1"/>
  <c r="M96" i="1"/>
  <c r="M104" i="1"/>
  <c r="M103" i="1"/>
  <c r="M89" i="1"/>
  <c r="M90" i="1"/>
  <c r="M92" i="1"/>
  <c r="M94" i="1"/>
  <c r="M87" i="1"/>
  <c r="M88" i="1"/>
  <c r="M91" i="1"/>
  <c r="M93" i="1"/>
  <c r="M78" i="1"/>
  <c r="M86" i="1"/>
  <c r="M77" i="1"/>
  <c r="P68" i="1"/>
  <c r="P48" i="1"/>
  <c r="M76" i="1"/>
  <c r="M81" i="1"/>
  <c r="M79" i="1"/>
  <c r="M82" i="1"/>
  <c r="M80" i="1"/>
  <c r="M84" i="1"/>
  <c r="M83" i="1"/>
  <c r="P52" i="1"/>
  <c r="P72" i="1"/>
  <c r="Q51" i="1"/>
  <c r="Q71" i="1"/>
  <c r="O53" i="1"/>
  <c r="O73" i="1"/>
  <c r="O49" i="1"/>
  <c r="O69" i="1"/>
  <c r="Q47" i="1"/>
  <c r="Q67" i="1"/>
  <c r="P50" i="1"/>
  <c r="P70" i="1"/>
  <c r="N54" i="1"/>
  <c r="N74" i="1"/>
  <c r="R46" i="1"/>
  <c r="R66" i="1"/>
  <c r="R25" i="1"/>
  <c r="O31" i="1"/>
  <c r="R27" i="1"/>
  <c r="S26" i="1"/>
  <c r="T21" i="1"/>
  <c r="T56" i="1" s="1"/>
  <c r="Q28" i="1"/>
  <c r="R23" i="1"/>
  <c r="P29" i="1"/>
  <c r="Q24" i="1"/>
  <c r="S22" i="1"/>
  <c r="R60" i="1" l="1"/>
  <c r="R62" i="1"/>
  <c r="S61" i="1"/>
  <c r="Q63" i="1"/>
  <c r="R58" i="1"/>
  <c r="P64" i="1"/>
  <c r="AM18" i="1" s="1"/>
  <c r="Q59" i="1"/>
  <c r="S57" i="1"/>
  <c r="L147" i="1"/>
  <c r="L157" i="1" s="1"/>
  <c r="L145" i="1"/>
  <c r="L155" i="1" s="1"/>
  <c r="L150" i="1"/>
  <c r="L160" i="1" s="1"/>
  <c r="L148" i="1"/>
  <c r="L158" i="1" s="1"/>
  <c r="L146" i="1"/>
  <c r="L156" i="1" s="1"/>
  <c r="L151" i="1"/>
  <c r="L161" i="1" s="1"/>
  <c r="L149" i="1"/>
  <c r="L159" i="1" s="1"/>
  <c r="L153" i="1"/>
  <c r="L163" i="1" s="1"/>
  <c r="L152" i="1"/>
  <c r="L162" i="1" s="1"/>
  <c r="M128" i="1"/>
  <c r="M131" i="1"/>
  <c r="M127" i="1"/>
  <c r="M132" i="1"/>
  <c r="M130" i="1"/>
  <c r="M126" i="1"/>
  <c r="M134" i="1"/>
  <c r="M133" i="1"/>
  <c r="M129" i="1"/>
  <c r="AJ7" i="1"/>
  <c r="BG7" i="1" s="1"/>
  <c r="AI13" i="1"/>
  <c r="BF13" i="1" s="1"/>
  <c r="AJ16" i="1"/>
  <c r="M110" i="1"/>
  <c r="M120" i="1" s="1"/>
  <c r="M114" i="1"/>
  <c r="M124" i="1" s="1"/>
  <c r="M113" i="1"/>
  <c r="M123" i="1" s="1"/>
  <c r="M112" i="1"/>
  <c r="M122" i="1" s="1"/>
  <c r="M106" i="1"/>
  <c r="M116" i="1" s="1"/>
  <c r="AJ6" i="1"/>
  <c r="BG6" i="1" s="1"/>
  <c r="M108" i="1"/>
  <c r="M118" i="1" s="1"/>
  <c r="M107" i="1"/>
  <c r="M117" i="1" s="1"/>
  <c r="M111" i="1"/>
  <c r="M121" i="1" s="1"/>
  <c r="M109" i="1"/>
  <c r="M119" i="1" s="1"/>
  <c r="N100" i="1"/>
  <c r="N99" i="1"/>
  <c r="N102" i="1"/>
  <c r="N96" i="1"/>
  <c r="N104" i="1"/>
  <c r="N98" i="1"/>
  <c r="N101" i="1"/>
  <c r="N97" i="1"/>
  <c r="N103" i="1"/>
  <c r="N89" i="1"/>
  <c r="N92" i="1"/>
  <c r="N90" i="1"/>
  <c r="N87" i="1"/>
  <c r="N88" i="1"/>
  <c r="N91" i="1"/>
  <c r="N86" i="1"/>
  <c r="N94" i="1"/>
  <c r="N93" i="1"/>
  <c r="N76" i="1"/>
  <c r="N80" i="1"/>
  <c r="N82" i="1"/>
  <c r="N79" i="1"/>
  <c r="N84" i="1"/>
  <c r="N81" i="1"/>
  <c r="N77" i="1"/>
  <c r="N78" i="1"/>
  <c r="N83" i="1"/>
  <c r="Q68" i="1"/>
  <c r="Q48" i="1"/>
  <c r="Q52" i="1"/>
  <c r="Q72" i="1"/>
  <c r="R51" i="1"/>
  <c r="R71" i="1"/>
  <c r="P53" i="1"/>
  <c r="P73" i="1"/>
  <c r="P49" i="1"/>
  <c r="P69" i="1"/>
  <c r="R47" i="1"/>
  <c r="R67" i="1"/>
  <c r="Q50" i="1"/>
  <c r="Q70" i="1"/>
  <c r="O54" i="1"/>
  <c r="O74" i="1"/>
  <c r="S46" i="1"/>
  <c r="S66" i="1"/>
  <c r="S25" i="1"/>
  <c r="P31" i="1"/>
  <c r="S27" i="1"/>
  <c r="T26" i="1"/>
  <c r="U21" i="1"/>
  <c r="U56" i="1" s="1"/>
  <c r="R28" i="1"/>
  <c r="S23" i="1"/>
  <c r="Q29" i="1"/>
  <c r="R24" i="1"/>
  <c r="T22" i="1"/>
  <c r="S60" i="1" l="1"/>
  <c r="S62" i="1"/>
  <c r="T61" i="1"/>
  <c r="R63" i="1"/>
  <c r="S58" i="1"/>
  <c r="Q64" i="1"/>
  <c r="AN18" i="1" s="1"/>
  <c r="R59" i="1"/>
  <c r="T57" i="1"/>
  <c r="M149" i="1"/>
  <c r="M159" i="1" s="1"/>
  <c r="M153" i="1"/>
  <c r="M163" i="1" s="1"/>
  <c r="M152" i="1"/>
  <c r="M162" i="1" s="1"/>
  <c r="M147" i="1"/>
  <c r="M157" i="1" s="1"/>
  <c r="M146" i="1"/>
  <c r="M156" i="1" s="1"/>
  <c r="M150" i="1"/>
  <c r="M160" i="1" s="1"/>
  <c r="M151" i="1"/>
  <c r="M161" i="1" s="1"/>
  <c r="M145" i="1"/>
  <c r="M155" i="1" s="1"/>
  <c r="M148" i="1"/>
  <c r="M158" i="1" s="1"/>
  <c r="N130" i="1"/>
  <c r="N129" i="1"/>
  <c r="N132" i="1"/>
  <c r="N126" i="1"/>
  <c r="N134" i="1"/>
  <c r="N128" i="1"/>
  <c r="N131" i="1"/>
  <c r="N127" i="1"/>
  <c r="N133" i="1"/>
  <c r="AK16" i="1"/>
  <c r="AK7" i="1"/>
  <c r="BH7" i="1" s="1"/>
  <c r="AK6" i="1"/>
  <c r="BH6" i="1" s="1"/>
  <c r="S71" i="1"/>
  <c r="S51" i="1"/>
  <c r="N112" i="1"/>
  <c r="N122" i="1" s="1"/>
  <c r="N114" i="1"/>
  <c r="N124" i="1" s="1"/>
  <c r="N111" i="1"/>
  <c r="N121" i="1" s="1"/>
  <c r="N107" i="1"/>
  <c r="N117" i="1" s="1"/>
  <c r="N108" i="1"/>
  <c r="N118" i="1" s="1"/>
  <c r="N113" i="1"/>
  <c r="N123" i="1" s="1"/>
  <c r="AJ13" i="1"/>
  <c r="BG13" i="1" s="1"/>
  <c r="N110" i="1"/>
  <c r="N120" i="1" s="1"/>
  <c r="N109" i="1"/>
  <c r="N119" i="1" s="1"/>
  <c r="N106" i="1"/>
  <c r="N116" i="1" s="1"/>
  <c r="O99" i="1"/>
  <c r="O97" i="1"/>
  <c r="O102" i="1"/>
  <c r="O100" i="1"/>
  <c r="O96" i="1"/>
  <c r="O104" i="1"/>
  <c r="O98" i="1"/>
  <c r="O101" i="1"/>
  <c r="O103" i="1"/>
  <c r="O87" i="1"/>
  <c r="O89" i="1"/>
  <c r="O92" i="1"/>
  <c r="O90" i="1"/>
  <c r="O94" i="1"/>
  <c r="O88" i="1"/>
  <c r="O91" i="1"/>
  <c r="O93" i="1"/>
  <c r="O82" i="1"/>
  <c r="O86" i="1"/>
  <c r="O81" i="1"/>
  <c r="O80" i="1"/>
  <c r="O77" i="1"/>
  <c r="O78" i="1"/>
  <c r="O79" i="1"/>
  <c r="O76" i="1"/>
  <c r="O84" i="1"/>
  <c r="O83" i="1"/>
  <c r="R52" i="1"/>
  <c r="R72" i="1"/>
  <c r="Q53" i="1"/>
  <c r="Q73" i="1"/>
  <c r="R48" i="1"/>
  <c r="R68" i="1"/>
  <c r="Q49" i="1"/>
  <c r="Q69" i="1"/>
  <c r="S47" i="1"/>
  <c r="S67" i="1"/>
  <c r="R50" i="1"/>
  <c r="R70" i="1"/>
  <c r="P54" i="1"/>
  <c r="P74" i="1"/>
  <c r="T46" i="1"/>
  <c r="T66" i="1"/>
  <c r="T25" i="1"/>
  <c r="Q31" i="1"/>
  <c r="T27" i="1"/>
  <c r="U26" i="1"/>
  <c r="V21" i="1"/>
  <c r="V56" i="1" s="1"/>
  <c r="S28" i="1"/>
  <c r="T23" i="1"/>
  <c r="R29" i="1"/>
  <c r="S24" i="1"/>
  <c r="U22" i="1"/>
  <c r="T60" i="1" l="1"/>
  <c r="T62" i="1"/>
  <c r="U61" i="1"/>
  <c r="S63" i="1"/>
  <c r="T58" i="1"/>
  <c r="R64" i="1"/>
  <c r="AO18" i="1" s="1"/>
  <c r="S59" i="1"/>
  <c r="U57" i="1"/>
  <c r="S68" i="1"/>
  <c r="S48" i="1"/>
  <c r="N151" i="1"/>
  <c r="N161" i="1" s="1"/>
  <c r="N153" i="1"/>
  <c r="N163" i="1" s="1"/>
  <c r="N150" i="1"/>
  <c r="N160" i="1" s="1"/>
  <c r="N146" i="1"/>
  <c r="N156" i="1" s="1"/>
  <c r="N147" i="1"/>
  <c r="N157" i="1" s="1"/>
  <c r="N152" i="1"/>
  <c r="N162" i="1" s="1"/>
  <c r="N149" i="1"/>
  <c r="N159" i="1" s="1"/>
  <c r="N148" i="1"/>
  <c r="N158" i="1" s="1"/>
  <c r="N145" i="1"/>
  <c r="N155" i="1" s="1"/>
  <c r="O129" i="1"/>
  <c r="O127" i="1"/>
  <c r="O130" i="1"/>
  <c r="O132" i="1"/>
  <c r="O126" i="1"/>
  <c r="O134" i="1"/>
  <c r="O128" i="1"/>
  <c r="O131" i="1"/>
  <c r="O133" i="1"/>
  <c r="O107" i="1"/>
  <c r="O117" i="1" s="1"/>
  <c r="O114" i="1"/>
  <c r="O124" i="1" s="1"/>
  <c r="AL7" i="1"/>
  <c r="BI7" i="1" s="1"/>
  <c r="O108" i="1"/>
  <c r="O118" i="1" s="1"/>
  <c r="O109" i="1"/>
  <c r="O119" i="1" s="1"/>
  <c r="O113" i="1"/>
  <c r="O123" i="1" s="1"/>
  <c r="AK13" i="1"/>
  <c r="BH13" i="1" s="1"/>
  <c r="AL16" i="1"/>
  <c r="O106" i="1"/>
  <c r="O116" i="1" s="1"/>
  <c r="AL6" i="1"/>
  <c r="BI6" i="1" s="1"/>
  <c r="O110" i="1"/>
  <c r="O120" i="1" s="1"/>
  <c r="O112" i="1"/>
  <c r="O122" i="1" s="1"/>
  <c r="O111" i="1"/>
  <c r="O121" i="1" s="1"/>
  <c r="P97" i="1"/>
  <c r="P100" i="1"/>
  <c r="P102" i="1"/>
  <c r="P96" i="1"/>
  <c r="P99" i="1"/>
  <c r="P104" i="1"/>
  <c r="P98" i="1"/>
  <c r="P101" i="1"/>
  <c r="P103" i="1"/>
  <c r="P86" i="1"/>
  <c r="P89" i="1"/>
  <c r="P90" i="1"/>
  <c r="P92" i="1"/>
  <c r="P94" i="1"/>
  <c r="P87" i="1"/>
  <c r="P91" i="1"/>
  <c r="P88" i="1"/>
  <c r="P93" i="1"/>
  <c r="P81" i="1"/>
  <c r="P78" i="1"/>
  <c r="P77" i="1"/>
  <c r="P82" i="1"/>
  <c r="P79" i="1"/>
  <c r="P80" i="1"/>
  <c r="P76" i="1"/>
  <c r="P84" i="1"/>
  <c r="P83" i="1"/>
  <c r="T71" i="1"/>
  <c r="T51" i="1"/>
  <c r="S72" i="1"/>
  <c r="S52" i="1"/>
  <c r="R53" i="1"/>
  <c r="R73" i="1"/>
  <c r="R49" i="1"/>
  <c r="R69" i="1"/>
  <c r="T47" i="1"/>
  <c r="T67" i="1"/>
  <c r="S50" i="1"/>
  <c r="S70" i="1"/>
  <c r="Q54" i="1"/>
  <c r="Q74" i="1"/>
  <c r="U46" i="1"/>
  <c r="U66" i="1"/>
  <c r="U25" i="1"/>
  <c r="R31" i="1"/>
  <c r="U27" i="1"/>
  <c r="V26" i="1"/>
  <c r="W21" i="1"/>
  <c r="W56" i="1" s="1"/>
  <c r="T28" i="1"/>
  <c r="U23" i="1"/>
  <c r="S29" i="1"/>
  <c r="T24" i="1"/>
  <c r="V22" i="1"/>
  <c r="U60" i="1" l="1"/>
  <c r="U62" i="1"/>
  <c r="V61" i="1"/>
  <c r="T63" i="1"/>
  <c r="U58" i="1"/>
  <c r="S64" i="1"/>
  <c r="AP18" i="1" s="1"/>
  <c r="T59" i="1"/>
  <c r="V57" i="1"/>
  <c r="O153" i="1"/>
  <c r="O163" i="1" s="1"/>
  <c r="O147" i="1"/>
  <c r="O157" i="1" s="1"/>
  <c r="O152" i="1"/>
  <c r="O162" i="1" s="1"/>
  <c r="O150" i="1"/>
  <c r="O160" i="1" s="1"/>
  <c r="O146" i="1"/>
  <c r="O156" i="1" s="1"/>
  <c r="O148" i="1"/>
  <c r="O158" i="1" s="1"/>
  <c r="O149" i="1"/>
  <c r="O159" i="1" s="1"/>
  <c r="O151" i="1"/>
  <c r="O161" i="1" s="1"/>
  <c r="O145" i="1"/>
  <c r="O155" i="1" s="1"/>
  <c r="P127" i="1"/>
  <c r="P130" i="1"/>
  <c r="P132" i="1"/>
  <c r="P126" i="1"/>
  <c r="P129" i="1"/>
  <c r="P134" i="1"/>
  <c r="P128" i="1"/>
  <c r="P131" i="1"/>
  <c r="P133" i="1"/>
  <c r="P114" i="1"/>
  <c r="P124" i="1" s="1"/>
  <c r="AM16" i="1"/>
  <c r="AM7" i="1"/>
  <c r="BJ7" i="1" s="1"/>
  <c r="AL13" i="1"/>
  <c r="BI13" i="1" s="1"/>
  <c r="P106" i="1"/>
  <c r="P116" i="1" s="1"/>
  <c r="AM6" i="1"/>
  <c r="BJ6" i="1" s="1"/>
  <c r="P111" i="1"/>
  <c r="P121" i="1" s="1"/>
  <c r="P108" i="1"/>
  <c r="P118" i="1" s="1"/>
  <c r="P107" i="1"/>
  <c r="P117" i="1" s="1"/>
  <c r="P112" i="1"/>
  <c r="P122" i="1" s="1"/>
  <c r="P109" i="1"/>
  <c r="P119" i="1" s="1"/>
  <c r="P110" i="1"/>
  <c r="P120" i="1" s="1"/>
  <c r="P113" i="1"/>
  <c r="P123" i="1" s="1"/>
  <c r="Q101" i="1"/>
  <c r="Q99" i="1"/>
  <c r="Q102" i="1"/>
  <c r="Q100" i="1"/>
  <c r="Q98" i="1"/>
  <c r="Q97" i="1"/>
  <c r="Q96" i="1"/>
  <c r="Q104" i="1"/>
  <c r="Q103" i="1"/>
  <c r="Q86" i="1"/>
  <c r="Q88" i="1"/>
  <c r="Q91" i="1"/>
  <c r="Q89" i="1"/>
  <c r="Q87" i="1"/>
  <c r="Q90" i="1"/>
  <c r="Q92" i="1"/>
  <c r="Q94" i="1"/>
  <c r="Q93" i="1"/>
  <c r="Q78" i="1"/>
  <c r="Q79" i="1"/>
  <c r="Q81" i="1"/>
  <c r="Q77" i="1"/>
  <c r="Q82" i="1"/>
  <c r="Q80" i="1"/>
  <c r="Q76" i="1"/>
  <c r="Q84" i="1"/>
  <c r="Q83" i="1"/>
  <c r="T52" i="1"/>
  <c r="T72" i="1"/>
  <c r="U51" i="1"/>
  <c r="U71" i="1"/>
  <c r="S53" i="1"/>
  <c r="S73" i="1"/>
  <c r="T48" i="1"/>
  <c r="T68" i="1"/>
  <c r="S49" i="1"/>
  <c r="S69" i="1"/>
  <c r="U47" i="1"/>
  <c r="U67" i="1"/>
  <c r="T50" i="1"/>
  <c r="T70" i="1"/>
  <c r="R54" i="1"/>
  <c r="R74" i="1"/>
  <c r="V46" i="1"/>
  <c r="V66" i="1"/>
  <c r="V25" i="1"/>
  <c r="S31" i="1"/>
  <c r="W26" i="1"/>
  <c r="V27" i="1"/>
  <c r="U28" i="1"/>
  <c r="V23" i="1"/>
  <c r="T29" i="1"/>
  <c r="U24" i="1"/>
  <c r="W22" i="1"/>
  <c r="V60" i="1" l="1"/>
  <c r="W61" i="1"/>
  <c r="V62" i="1"/>
  <c r="U63" i="1"/>
  <c r="V58" i="1"/>
  <c r="T64" i="1"/>
  <c r="AQ18" i="1" s="1"/>
  <c r="U59" i="1"/>
  <c r="W57" i="1"/>
  <c r="P145" i="1"/>
  <c r="P155" i="1" s="1"/>
  <c r="P153" i="1"/>
  <c r="P163" i="1" s="1"/>
  <c r="P150" i="1"/>
  <c r="P160" i="1" s="1"/>
  <c r="P147" i="1"/>
  <c r="P157" i="1" s="1"/>
  <c r="P146" i="1"/>
  <c r="P156" i="1" s="1"/>
  <c r="P148" i="1"/>
  <c r="P158" i="1" s="1"/>
  <c r="P149" i="1"/>
  <c r="P159" i="1" s="1"/>
  <c r="P152" i="1"/>
  <c r="P162" i="1" s="1"/>
  <c r="P151" i="1"/>
  <c r="P161" i="1" s="1"/>
  <c r="Q131" i="1"/>
  <c r="Q129" i="1"/>
  <c r="Q132" i="1"/>
  <c r="Q130" i="1"/>
  <c r="Q127" i="1"/>
  <c r="Q126" i="1"/>
  <c r="Q134" i="1"/>
  <c r="Q128" i="1"/>
  <c r="Q133" i="1"/>
  <c r="AN16" i="1"/>
  <c r="AN6" i="1"/>
  <c r="BK6" i="1" s="1"/>
  <c r="AN7" i="1"/>
  <c r="BK7" i="1" s="1"/>
  <c r="Q110" i="1"/>
  <c r="Q120" i="1" s="1"/>
  <c r="AM13" i="1"/>
  <c r="BJ13" i="1" s="1"/>
  <c r="Q107" i="1"/>
  <c r="Q117" i="1" s="1"/>
  <c r="Q112" i="1"/>
  <c r="Q122" i="1" s="1"/>
  <c r="Q111" i="1"/>
  <c r="Q121" i="1" s="1"/>
  <c r="Q108" i="1"/>
  <c r="Q118" i="1" s="1"/>
  <c r="Q109" i="1"/>
  <c r="Q119" i="1" s="1"/>
  <c r="Q114" i="1"/>
  <c r="Q124" i="1" s="1"/>
  <c r="Q113" i="1"/>
  <c r="Q123" i="1" s="1"/>
  <c r="Q106" i="1"/>
  <c r="Q116" i="1" s="1"/>
  <c r="R96" i="1"/>
  <c r="R98" i="1"/>
  <c r="R101" i="1"/>
  <c r="R103" i="1"/>
  <c r="R99" i="1"/>
  <c r="R97" i="1"/>
  <c r="R102" i="1"/>
  <c r="R100" i="1"/>
  <c r="R104" i="1"/>
  <c r="R87" i="1"/>
  <c r="R88" i="1"/>
  <c r="R91" i="1"/>
  <c r="R89" i="1"/>
  <c r="R92" i="1"/>
  <c r="R90" i="1"/>
  <c r="R86" i="1"/>
  <c r="R94" i="1"/>
  <c r="R93" i="1"/>
  <c r="T69" i="1"/>
  <c r="T49" i="1"/>
  <c r="R79" i="1"/>
  <c r="R82" i="1"/>
  <c r="R80" i="1"/>
  <c r="R76" i="1"/>
  <c r="R84" i="1"/>
  <c r="R77" i="1"/>
  <c r="R78" i="1"/>
  <c r="R81" i="1"/>
  <c r="R83" i="1"/>
  <c r="U52" i="1"/>
  <c r="U72" i="1"/>
  <c r="V51" i="1"/>
  <c r="V71" i="1"/>
  <c r="T53" i="1"/>
  <c r="T73" i="1"/>
  <c r="U48" i="1"/>
  <c r="U68" i="1"/>
  <c r="V47" i="1"/>
  <c r="V67" i="1"/>
  <c r="U50" i="1"/>
  <c r="U70" i="1"/>
  <c r="S54" i="1"/>
  <c r="S74" i="1"/>
  <c r="W46" i="1"/>
  <c r="W66" i="1"/>
  <c r="W25" i="1"/>
  <c r="T31" i="1"/>
  <c r="W27" i="1"/>
  <c r="V28" i="1"/>
  <c r="W23" i="1"/>
  <c r="U29" i="1"/>
  <c r="V24" i="1"/>
  <c r="W60" i="1" l="1"/>
  <c r="W62" i="1"/>
  <c r="V63" i="1"/>
  <c r="W58" i="1"/>
  <c r="U64" i="1"/>
  <c r="AR18" i="1" s="1"/>
  <c r="V59" i="1"/>
  <c r="Q153" i="1"/>
  <c r="Q163" i="1" s="1"/>
  <c r="Q152" i="1"/>
  <c r="Q162" i="1" s="1"/>
  <c r="Q145" i="1"/>
  <c r="Q155" i="1" s="1"/>
  <c r="Q147" i="1"/>
  <c r="Q157" i="1" s="1"/>
  <c r="Q149" i="1"/>
  <c r="Q159" i="1" s="1"/>
  <c r="Q150" i="1"/>
  <c r="Q160" i="1" s="1"/>
  <c r="Q148" i="1"/>
  <c r="Q158" i="1" s="1"/>
  <c r="Q146" i="1"/>
  <c r="Q156" i="1" s="1"/>
  <c r="Q151" i="1"/>
  <c r="Q161" i="1" s="1"/>
  <c r="R126" i="1"/>
  <c r="R128" i="1"/>
  <c r="R131" i="1"/>
  <c r="R133" i="1"/>
  <c r="R129" i="1"/>
  <c r="R127" i="1"/>
  <c r="R132" i="1"/>
  <c r="R130" i="1"/>
  <c r="R134" i="1"/>
  <c r="AN13" i="1"/>
  <c r="BK13" i="1" s="1"/>
  <c r="AO6" i="1"/>
  <c r="BL6" i="1" s="1"/>
  <c r="AO7" i="1"/>
  <c r="BL7" i="1" s="1"/>
  <c r="AO16" i="1"/>
  <c r="R109" i="1"/>
  <c r="R119" i="1" s="1"/>
  <c r="R112" i="1"/>
  <c r="R122" i="1" s="1"/>
  <c r="R107" i="1"/>
  <c r="R117" i="1" s="1"/>
  <c r="R108" i="1"/>
  <c r="R118" i="1" s="1"/>
  <c r="R111" i="1"/>
  <c r="R121" i="1" s="1"/>
  <c r="R113" i="1"/>
  <c r="R123" i="1" s="1"/>
  <c r="R110" i="1"/>
  <c r="R120" i="1" s="1"/>
  <c r="R114" i="1"/>
  <c r="R124" i="1" s="1"/>
  <c r="R106" i="1"/>
  <c r="R116" i="1" s="1"/>
  <c r="S96" i="1"/>
  <c r="S99" i="1"/>
  <c r="S98" i="1"/>
  <c r="S101" i="1"/>
  <c r="S100" i="1"/>
  <c r="S97" i="1"/>
  <c r="S102" i="1"/>
  <c r="S104" i="1"/>
  <c r="S103" i="1"/>
  <c r="S87" i="1"/>
  <c r="S91" i="1"/>
  <c r="S88" i="1"/>
  <c r="S89" i="1"/>
  <c r="S86" i="1"/>
  <c r="S92" i="1"/>
  <c r="S90" i="1"/>
  <c r="S94" i="1"/>
  <c r="S93" i="1"/>
  <c r="S76" i="1"/>
  <c r="S82" i="1"/>
  <c r="S78" i="1"/>
  <c r="S81" i="1"/>
  <c r="S80" i="1"/>
  <c r="S79" i="1"/>
  <c r="S77" i="1"/>
  <c r="S84" i="1"/>
  <c r="S83" i="1"/>
  <c r="W51" i="1"/>
  <c r="W71" i="1"/>
  <c r="V52" i="1"/>
  <c r="V72" i="1"/>
  <c r="U53" i="1"/>
  <c r="U73" i="1"/>
  <c r="V48" i="1"/>
  <c r="V68" i="1"/>
  <c r="U49" i="1"/>
  <c r="U69" i="1"/>
  <c r="W47" i="1"/>
  <c r="W67" i="1"/>
  <c r="V50" i="1"/>
  <c r="V70" i="1"/>
  <c r="T54" i="1"/>
  <c r="T74" i="1"/>
  <c r="U31" i="1"/>
  <c r="W28" i="1"/>
  <c r="V29" i="1"/>
  <c r="W24" i="1"/>
  <c r="W63" i="1" l="1"/>
  <c r="V64" i="1"/>
  <c r="AS18" i="1" s="1"/>
  <c r="W59" i="1"/>
  <c r="R151" i="1"/>
  <c r="R161" i="1" s="1"/>
  <c r="R148" i="1"/>
  <c r="R158" i="1" s="1"/>
  <c r="R147" i="1"/>
  <c r="R157" i="1" s="1"/>
  <c r="R146" i="1"/>
  <c r="R156" i="1" s="1"/>
  <c r="R150" i="1"/>
  <c r="R160" i="1" s="1"/>
  <c r="R152" i="1"/>
  <c r="R162" i="1" s="1"/>
  <c r="R149" i="1"/>
  <c r="R159" i="1" s="1"/>
  <c r="R153" i="1"/>
  <c r="R163" i="1" s="1"/>
  <c r="R145" i="1"/>
  <c r="R155" i="1" s="1"/>
  <c r="S126" i="1"/>
  <c r="S129" i="1"/>
  <c r="S128" i="1"/>
  <c r="S131" i="1"/>
  <c r="S130" i="1"/>
  <c r="S127" i="1"/>
  <c r="S132" i="1"/>
  <c r="S134" i="1"/>
  <c r="S133" i="1"/>
  <c r="AO13" i="1"/>
  <c r="BL13" i="1" s="1"/>
  <c r="AP7" i="1"/>
  <c r="BM7" i="1" s="1"/>
  <c r="AP16" i="1"/>
  <c r="AP6" i="1"/>
  <c r="BM6" i="1" s="1"/>
  <c r="S112" i="1"/>
  <c r="S122" i="1" s="1"/>
  <c r="S111" i="1"/>
  <c r="S121" i="1" s="1"/>
  <c r="S110" i="1"/>
  <c r="S120" i="1" s="1"/>
  <c r="S107" i="1"/>
  <c r="S117" i="1" s="1"/>
  <c r="S113" i="1"/>
  <c r="S123" i="1" s="1"/>
  <c r="S108" i="1"/>
  <c r="S118" i="1" s="1"/>
  <c r="S109" i="1"/>
  <c r="S119" i="1" s="1"/>
  <c r="S114" i="1"/>
  <c r="S124" i="1" s="1"/>
  <c r="S106" i="1"/>
  <c r="S116" i="1" s="1"/>
  <c r="T96" i="1"/>
  <c r="T97" i="1"/>
  <c r="T98" i="1"/>
  <c r="T101" i="1"/>
  <c r="T99" i="1"/>
  <c r="T100" i="1"/>
  <c r="T102" i="1"/>
  <c r="T104" i="1"/>
  <c r="T103" i="1"/>
  <c r="T89" i="1"/>
  <c r="T87" i="1"/>
  <c r="T90" i="1"/>
  <c r="T92" i="1"/>
  <c r="T86" i="1"/>
  <c r="T94" i="1"/>
  <c r="T88" i="1"/>
  <c r="T91" i="1"/>
  <c r="T93" i="1"/>
  <c r="T81" i="1"/>
  <c r="T78" i="1"/>
  <c r="T77" i="1"/>
  <c r="T83" i="1"/>
  <c r="T80" i="1"/>
  <c r="T79" i="1"/>
  <c r="T82" i="1"/>
  <c r="T76" i="1"/>
  <c r="T84" i="1"/>
  <c r="V73" i="1"/>
  <c r="V53" i="1"/>
  <c r="W50" i="1"/>
  <c r="W70" i="1"/>
  <c r="W52" i="1"/>
  <c r="W72" i="1"/>
  <c r="W48" i="1"/>
  <c r="W68" i="1"/>
  <c r="V49" i="1"/>
  <c r="V69" i="1"/>
  <c r="U54" i="1"/>
  <c r="U74" i="1"/>
  <c r="V31" i="1"/>
  <c r="W29" i="1"/>
  <c r="W64" i="1" l="1"/>
  <c r="AT18" i="1" s="1"/>
  <c r="S151" i="1"/>
  <c r="S161" i="1" s="1"/>
  <c r="S149" i="1"/>
  <c r="S159" i="1" s="1"/>
  <c r="S146" i="1"/>
  <c r="S156" i="1" s="1"/>
  <c r="S150" i="1"/>
  <c r="S160" i="1" s="1"/>
  <c r="S152" i="1"/>
  <c r="S162" i="1" s="1"/>
  <c r="S147" i="1"/>
  <c r="S157" i="1" s="1"/>
  <c r="S148" i="1"/>
  <c r="S158" i="1" s="1"/>
  <c r="S153" i="1"/>
  <c r="S163" i="1" s="1"/>
  <c r="S145" i="1"/>
  <c r="S155" i="1" s="1"/>
  <c r="T127" i="1"/>
  <c r="T131" i="1"/>
  <c r="T126" i="1"/>
  <c r="T128" i="1"/>
  <c r="T129" i="1"/>
  <c r="T130" i="1"/>
  <c r="T132" i="1"/>
  <c r="T134" i="1"/>
  <c r="T133" i="1"/>
  <c r="AP13" i="1"/>
  <c r="BM13" i="1" s="1"/>
  <c r="AQ6" i="1"/>
  <c r="BN6" i="1" s="1"/>
  <c r="AQ16" i="1"/>
  <c r="AQ7" i="1"/>
  <c r="BN7" i="1" s="1"/>
  <c r="T111" i="1"/>
  <c r="T121" i="1" s="1"/>
  <c r="T108" i="1"/>
  <c r="T118" i="1" s="1"/>
  <c r="T107" i="1"/>
  <c r="T117" i="1" s="1"/>
  <c r="T113" i="1"/>
  <c r="T123" i="1" s="1"/>
  <c r="T110" i="1"/>
  <c r="T120" i="1" s="1"/>
  <c r="T109" i="1"/>
  <c r="T119" i="1" s="1"/>
  <c r="T106" i="1"/>
  <c r="T116" i="1" s="1"/>
  <c r="T114" i="1"/>
  <c r="T124" i="1" s="1"/>
  <c r="T112" i="1"/>
  <c r="T122" i="1" s="1"/>
  <c r="U96" i="1"/>
  <c r="U99" i="1"/>
  <c r="U102" i="1"/>
  <c r="U100" i="1"/>
  <c r="U104" i="1"/>
  <c r="U97" i="1"/>
  <c r="U101" i="1"/>
  <c r="U98" i="1"/>
  <c r="U103" i="1"/>
  <c r="U89" i="1"/>
  <c r="U92" i="1"/>
  <c r="U90" i="1"/>
  <c r="U86" i="1"/>
  <c r="U94" i="1"/>
  <c r="U88" i="1"/>
  <c r="U87" i="1"/>
  <c r="U91" i="1"/>
  <c r="U93" i="1"/>
  <c r="U78" i="1"/>
  <c r="U79" i="1"/>
  <c r="U82" i="1"/>
  <c r="U81" i="1"/>
  <c r="U80" i="1"/>
  <c r="U76" i="1"/>
  <c r="U77" i="1"/>
  <c r="U84" i="1"/>
  <c r="U83" i="1"/>
  <c r="W53" i="1"/>
  <c r="W73" i="1"/>
  <c r="W49" i="1"/>
  <c r="W69" i="1"/>
  <c r="V54" i="1"/>
  <c r="V74" i="1"/>
  <c r="W31" i="1"/>
  <c r="T146" i="1" l="1"/>
  <c r="T156" i="1" s="1"/>
  <c r="T152" i="1"/>
  <c r="T162" i="1" s="1"/>
  <c r="T145" i="1"/>
  <c r="T155" i="1" s="1"/>
  <c r="T147" i="1"/>
  <c r="T157" i="1" s="1"/>
  <c r="T153" i="1"/>
  <c r="T163" i="1" s="1"/>
  <c r="T151" i="1"/>
  <c r="T161" i="1" s="1"/>
  <c r="T149" i="1"/>
  <c r="T159" i="1" s="1"/>
  <c r="T148" i="1"/>
  <c r="T158" i="1" s="1"/>
  <c r="T150" i="1"/>
  <c r="T160" i="1" s="1"/>
  <c r="U126" i="1"/>
  <c r="U132" i="1"/>
  <c r="U130" i="1"/>
  <c r="U134" i="1"/>
  <c r="U127" i="1"/>
  <c r="U129" i="1"/>
  <c r="U131" i="1"/>
  <c r="U128" i="1"/>
  <c r="U133" i="1"/>
  <c r="U114" i="1"/>
  <c r="U124" i="1" s="1"/>
  <c r="AR6" i="1"/>
  <c r="BO6" i="1" s="1"/>
  <c r="AQ13" i="1"/>
  <c r="BN13" i="1" s="1"/>
  <c r="AR16" i="1"/>
  <c r="AR7" i="1"/>
  <c r="BO7" i="1" s="1"/>
  <c r="U106" i="1"/>
  <c r="U116" i="1" s="1"/>
  <c r="U110" i="1"/>
  <c r="U120" i="1" s="1"/>
  <c r="U113" i="1"/>
  <c r="U123" i="1" s="1"/>
  <c r="U108" i="1"/>
  <c r="U118" i="1" s="1"/>
  <c r="U109" i="1"/>
  <c r="U119" i="1" s="1"/>
  <c r="U112" i="1"/>
  <c r="U122" i="1" s="1"/>
  <c r="U111" i="1"/>
  <c r="U121" i="1" s="1"/>
  <c r="U107" i="1"/>
  <c r="U117" i="1" s="1"/>
  <c r="V99" i="1"/>
  <c r="V97" i="1"/>
  <c r="V98" i="1"/>
  <c r="V101" i="1"/>
  <c r="V102" i="1"/>
  <c r="V100" i="1"/>
  <c r="V96" i="1"/>
  <c r="V104" i="1"/>
  <c r="V103" i="1"/>
  <c r="V92" i="1"/>
  <c r="V90" i="1"/>
  <c r="V86" i="1"/>
  <c r="V89" i="1"/>
  <c r="V87" i="1"/>
  <c r="V94" i="1"/>
  <c r="V91" i="1"/>
  <c r="V88" i="1"/>
  <c r="V93" i="1"/>
  <c r="V76" i="1"/>
  <c r="V81" i="1"/>
  <c r="V79" i="1"/>
  <c r="V82" i="1"/>
  <c r="V80" i="1"/>
  <c r="V84" i="1"/>
  <c r="V78" i="1"/>
  <c r="V77" i="1"/>
  <c r="V83" i="1"/>
  <c r="W54" i="1"/>
  <c r="W74" i="1"/>
  <c r="U146" i="1" l="1"/>
  <c r="U156" i="1" s="1"/>
  <c r="U151" i="1"/>
  <c r="U161" i="1" s="1"/>
  <c r="U150" i="1"/>
  <c r="U160" i="1" s="1"/>
  <c r="U148" i="1"/>
  <c r="U158" i="1" s="1"/>
  <c r="U149" i="1"/>
  <c r="U159" i="1" s="1"/>
  <c r="U147" i="1"/>
  <c r="U157" i="1" s="1"/>
  <c r="U153" i="1"/>
  <c r="U163" i="1" s="1"/>
  <c r="U145" i="1"/>
  <c r="U155" i="1" s="1"/>
  <c r="U152" i="1"/>
  <c r="U162" i="1" s="1"/>
  <c r="V133" i="1"/>
  <c r="V128" i="1"/>
  <c r="V127" i="1"/>
  <c r="V131" i="1"/>
  <c r="V126" i="1"/>
  <c r="V130" i="1"/>
  <c r="V129" i="1"/>
  <c r="V134" i="1"/>
  <c r="V132" i="1"/>
  <c r="AR13" i="1"/>
  <c r="BO13" i="1" s="1"/>
  <c r="AS7" i="1"/>
  <c r="BP7" i="1" s="1"/>
  <c r="AS6" i="1"/>
  <c r="BP6" i="1" s="1"/>
  <c r="AS16" i="1"/>
  <c r="V112" i="1"/>
  <c r="V122" i="1" s="1"/>
  <c r="V111" i="1"/>
  <c r="V121" i="1" s="1"/>
  <c r="V109" i="1"/>
  <c r="V119" i="1" s="1"/>
  <c r="V110" i="1"/>
  <c r="V120" i="1" s="1"/>
  <c r="V114" i="1"/>
  <c r="V124" i="1" s="1"/>
  <c r="V108" i="1"/>
  <c r="V118" i="1" s="1"/>
  <c r="V107" i="1"/>
  <c r="V117" i="1" s="1"/>
  <c r="V113" i="1"/>
  <c r="V123" i="1" s="1"/>
  <c r="V106" i="1"/>
  <c r="V116" i="1" s="1"/>
  <c r="W96" i="1"/>
  <c r="W99" i="1"/>
  <c r="W97" i="1"/>
  <c r="W102" i="1"/>
  <c r="W100" i="1"/>
  <c r="W104" i="1"/>
  <c r="W98" i="1"/>
  <c r="W101" i="1"/>
  <c r="W103" i="1"/>
  <c r="W89" i="1"/>
  <c r="W87" i="1"/>
  <c r="W88" i="1"/>
  <c r="W91" i="1"/>
  <c r="W86" i="1"/>
  <c r="W90" i="1"/>
  <c r="W92" i="1"/>
  <c r="W94" i="1"/>
  <c r="W93" i="1"/>
  <c r="W76" i="1"/>
  <c r="W78" i="1"/>
  <c r="W81" i="1"/>
  <c r="W79" i="1"/>
  <c r="W77" i="1"/>
  <c r="W80" i="1"/>
  <c r="W82" i="1"/>
  <c r="W84" i="1"/>
  <c r="W83" i="1"/>
  <c r="V151" i="1" l="1"/>
  <c r="V161" i="1" s="1"/>
  <c r="V153" i="1"/>
  <c r="V163" i="1" s="1"/>
  <c r="V150" i="1"/>
  <c r="V160" i="1" s="1"/>
  <c r="V148" i="1"/>
  <c r="V158" i="1" s="1"/>
  <c r="V149" i="1"/>
  <c r="V159" i="1" s="1"/>
  <c r="V147" i="1"/>
  <c r="V157" i="1" s="1"/>
  <c r="V146" i="1"/>
  <c r="V156" i="1" s="1"/>
  <c r="V152" i="1"/>
  <c r="V162" i="1" s="1"/>
  <c r="V145" i="1"/>
  <c r="V155" i="1" s="1"/>
  <c r="W126" i="1"/>
  <c r="W129" i="1"/>
  <c r="W127" i="1"/>
  <c r="W132" i="1"/>
  <c r="W134" i="1"/>
  <c r="W128" i="1"/>
  <c r="W131" i="1"/>
  <c r="W130" i="1"/>
  <c r="W133" i="1"/>
  <c r="W113" i="1"/>
  <c r="W123" i="1" s="1"/>
  <c r="AS13" i="1"/>
  <c r="BP13" i="1" s="1"/>
  <c r="AT16" i="1"/>
  <c r="AT6" i="1"/>
  <c r="AT7" i="1"/>
  <c r="W109" i="1"/>
  <c r="W119" i="1" s="1"/>
  <c r="W111" i="1"/>
  <c r="W121" i="1" s="1"/>
  <c r="W114" i="1"/>
  <c r="W124" i="1" s="1"/>
  <c r="W108" i="1"/>
  <c r="W118" i="1" s="1"/>
  <c r="W107" i="1"/>
  <c r="W117" i="1" s="1"/>
  <c r="W110" i="1"/>
  <c r="W120" i="1" s="1"/>
  <c r="W112" i="1"/>
  <c r="W122" i="1" s="1"/>
  <c r="W106" i="1"/>
  <c r="W116" i="1" s="1"/>
  <c r="W152" i="1" l="1"/>
  <c r="W162" i="1" s="1"/>
  <c r="W148" i="1"/>
  <c r="W158" i="1" s="1"/>
  <c r="W150" i="1"/>
  <c r="W160" i="1" s="1"/>
  <c r="W153" i="1"/>
  <c r="W163" i="1" s="1"/>
  <c r="W147" i="1"/>
  <c r="W157" i="1" s="1"/>
  <c r="W151" i="1"/>
  <c r="W161" i="1" s="1"/>
  <c r="W146" i="1"/>
  <c r="W156" i="1" s="1"/>
  <c r="W149" i="1"/>
  <c r="W159" i="1" s="1"/>
  <c r="W145" i="1"/>
  <c r="W155" i="1" s="1"/>
  <c r="AT13" i="1"/>
</calcChain>
</file>

<file path=xl/sharedStrings.xml><?xml version="1.0" encoding="utf-8"?>
<sst xmlns="http://schemas.openxmlformats.org/spreadsheetml/2006/main" count="127" uniqueCount="56">
  <si>
    <t>Tabela 2 - Usos de bens e serviços - 2020</t>
  </si>
  <si>
    <t>Operações</t>
  </si>
  <si>
    <t>Componentes do valor adicionado (valores correntes em 1 000 000 R$)</t>
  </si>
  <si>
    <t>A
Agricultura, pecuária, produção florestal, pesca e aquicultura</t>
  </si>
  <si>
    <t>B
Indústrias extrativas</t>
  </si>
  <si>
    <t>C
Indústrias de transformação</t>
  </si>
  <si>
    <t>D
Eletricidade e gás</t>
  </si>
  <si>
    <t>E
Água, esgoto, atividades de gestão de resíduos e descontaminação</t>
  </si>
  <si>
    <t>F
Construção</t>
  </si>
  <si>
    <t>G
Comércio; reparação de veículos automotores e motocicletas</t>
  </si>
  <si>
    <t>H
Transporte, armazenagem e correio</t>
  </si>
  <si>
    <t>I
Alojamento e alimentação</t>
  </si>
  <si>
    <t>J
Informação e comunicação</t>
  </si>
  <si>
    <t>K
Atividades financeiras, de seguros e serviços relacionados</t>
  </si>
  <si>
    <t>L
Atividades imobiliárias</t>
  </si>
  <si>
    <t>M
Atividades científicas, profissionais e técnicas</t>
  </si>
  <si>
    <t>N
Atividades administrativas e serviços complementares</t>
  </si>
  <si>
    <t>O
Administração pública, defesa e seguridade social</t>
  </si>
  <si>
    <t>P
Educação</t>
  </si>
  <si>
    <t>Q
Saúde humana e serviços sociais</t>
  </si>
  <si>
    <t>R
Artes, cultura, esporte e recreação</t>
  </si>
  <si>
    <t>S
Outras atividades de serviços</t>
  </si>
  <si>
    <t>T
Serviços domésticos</t>
  </si>
  <si>
    <t>Total
do produto</t>
  </si>
  <si>
    <t>Valor adicionado bruto ( PIB )</t>
  </si>
  <si>
    <t>Remunerações</t>
  </si>
  <si>
    <t xml:space="preserve">   Salários</t>
  </si>
  <si>
    <t xml:space="preserve">   Contribuições sociais efetivas</t>
  </si>
  <si>
    <t xml:space="preserve">      Previdência oficial /FGTS</t>
  </si>
  <si>
    <t xml:space="preserve">      Previdência privada</t>
  </si>
  <si>
    <t xml:space="preserve">   Contribuições sociais imputadas</t>
  </si>
  <si>
    <t>Excedente operacional bruto e rendimento misto bruto</t>
  </si>
  <si>
    <t xml:space="preserve">   Rendimento misto bruto</t>
  </si>
  <si>
    <t xml:space="preserve">   Excedente operacional bruto (EOB)</t>
  </si>
  <si>
    <t>Outros impostos sobre a produção</t>
  </si>
  <si>
    <t>Outros subsídios à produção</t>
  </si>
  <si>
    <t>Valor da produção</t>
  </si>
  <si>
    <t>Fator trabalho (ocupações)</t>
  </si>
  <si>
    <t>Preços</t>
  </si>
  <si>
    <t>Qualidade</t>
  </si>
  <si>
    <t>etap</t>
  </si>
  <si>
    <t>etaq</t>
  </si>
  <si>
    <t>Produção real</t>
  </si>
  <si>
    <t>CI</t>
  </si>
  <si>
    <t>Salários</t>
  </si>
  <si>
    <t>taxes</t>
  </si>
  <si>
    <t>EOB</t>
  </si>
  <si>
    <t>EOB Unit</t>
  </si>
  <si>
    <t>PY = W + CI + Profit</t>
  </si>
  <si>
    <t>P = W/Y + CI/Y + Profit/Y</t>
  </si>
  <si>
    <t>P = UC + Profit/Y</t>
  </si>
  <si>
    <t>P = markup * UC</t>
  </si>
  <si>
    <t>markup * UC = UC + Profit/Y</t>
  </si>
  <si>
    <t>markup = 1 + Profit/Y * 1/UC</t>
  </si>
  <si>
    <t>UC</t>
  </si>
  <si>
    <t>Check: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</si>
</sst>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2" applyNumberFormat="1" applyFont="1"/>
    <xf numFmtId="43" fontId="0" fillId="0" borderId="0" xfId="1" applyFont="1"/>
    <xf numFmtId="43" fontId="0" fillId="0" borderId="0" xfId="0" applyNumberFormat="1"/>
    <xf numFmtId="164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2927-8319-4F0B-BE83-C5B0432962BD}">
  <dimension ref="B1:BQ177"/>
  <sheetViews>
    <sheetView tabSelected="1" topLeftCell="A133" workbookViewId="0">
      <selection activeCell="C36" sqref="C36:W44"/>
    </sheetView>
  </sheetViews>
  <sheetFormatPr defaultRowHeight="15" x14ac:dyDescent="0.25"/>
  <cols>
    <col min="2" max="2" width="27.5703125" customWidth="1"/>
    <col min="25" max="25" width="49.85546875" bestFit="1" customWidth="1"/>
  </cols>
  <sheetData>
    <row r="1" spans="2:69" x14ac:dyDescent="0.25">
      <c r="B1" t="s">
        <v>0</v>
      </c>
    </row>
    <row r="3" spans="2:69" x14ac:dyDescent="0.25">
      <c r="B3" t="s">
        <v>1</v>
      </c>
      <c r="C3" t="s">
        <v>2</v>
      </c>
    </row>
    <row r="4" spans="2:69" ht="165" x14ac:dyDescent="0.25"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Z4" s="1" t="s">
        <v>3</v>
      </c>
      <c r="AA4" s="1" t="s">
        <v>4</v>
      </c>
      <c r="AB4" s="1" t="s">
        <v>5</v>
      </c>
      <c r="AC4" s="1" t="s">
        <v>6</v>
      </c>
      <c r="AD4" s="1" t="s">
        <v>7</v>
      </c>
      <c r="AE4" s="1" t="s">
        <v>8</v>
      </c>
      <c r="AF4" s="1" t="s">
        <v>9</v>
      </c>
      <c r="AG4" s="1" t="s">
        <v>10</v>
      </c>
      <c r="AH4" s="1" t="s">
        <v>11</v>
      </c>
      <c r="AI4" s="1" t="s">
        <v>12</v>
      </c>
      <c r="AJ4" s="1" t="s">
        <v>13</v>
      </c>
      <c r="AK4" s="1" t="s">
        <v>14</v>
      </c>
      <c r="AL4" s="1" t="s">
        <v>15</v>
      </c>
      <c r="AM4" s="1" t="s">
        <v>16</v>
      </c>
      <c r="AN4" s="1" t="s">
        <v>17</v>
      </c>
      <c r="AO4" s="1" t="s">
        <v>18</v>
      </c>
      <c r="AP4" s="1" t="s">
        <v>19</v>
      </c>
      <c r="AQ4" s="1" t="s">
        <v>20</v>
      </c>
      <c r="AR4" s="1" t="s">
        <v>21</v>
      </c>
      <c r="AS4" s="1" t="s">
        <v>22</v>
      </c>
      <c r="AT4" s="1" t="s">
        <v>23</v>
      </c>
      <c r="AW4" s="1" t="s">
        <v>3</v>
      </c>
      <c r="AX4" s="1" t="s">
        <v>4</v>
      </c>
      <c r="AY4" s="1" t="s">
        <v>5</v>
      </c>
      <c r="AZ4" s="1" t="s">
        <v>6</v>
      </c>
      <c r="BA4" s="1" t="s">
        <v>7</v>
      </c>
      <c r="BB4" s="1" t="s">
        <v>8</v>
      </c>
      <c r="BC4" s="1" t="s">
        <v>9</v>
      </c>
      <c r="BD4" s="1" t="s">
        <v>10</v>
      </c>
      <c r="BE4" s="1" t="s">
        <v>11</v>
      </c>
      <c r="BF4" s="1" t="s">
        <v>12</v>
      </c>
      <c r="BG4" s="1" t="s">
        <v>13</v>
      </c>
      <c r="BH4" s="1" t="s">
        <v>14</v>
      </c>
      <c r="BI4" s="1" t="s">
        <v>15</v>
      </c>
      <c r="BJ4" s="1" t="s">
        <v>16</v>
      </c>
      <c r="BK4" s="1" t="s">
        <v>17</v>
      </c>
      <c r="BL4" s="1" t="s">
        <v>18</v>
      </c>
      <c r="BM4" s="1" t="s">
        <v>19</v>
      </c>
      <c r="BN4" s="1" t="s">
        <v>20</v>
      </c>
      <c r="BO4" s="1" t="s">
        <v>21</v>
      </c>
      <c r="BP4" s="1" t="s">
        <v>22</v>
      </c>
      <c r="BQ4" s="1" t="s">
        <v>23</v>
      </c>
    </row>
    <row r="6" spans="2:69" x14ac:dyDescent="0.25">
      <c r="B6" t="s">
        <v>24</v>
      </c>
      <c r="C6">
        <v>434621</v>
      </c>
      <c r="D6">
        <v>193615</v>
      </c>
      <c r="E6">
        <v>813689</v>
      </c>
      <c r="F6">
        <v>150795</v>
      </c>
      <c r="G6">
        <v>58317</v>
      </c>
      <c r="H6">
        <v>267921</v>
      </c>
      <c r="I6">
        <v>825346</v>
      </c>
      <c r="J6">
        <v>273239</v>
      </c>
      <c r="K6">
        <v>117465</v>
      </c>
      <c r="L6">
        <v>237574</v>
      </c>
      <c r="M6">
        <v>454550</v>
      </c>
      <c r="N6">
        <v>656013</v>
      </c>
      <c r="O6">
        <v>258249</v>
      </c>
      <c r="P6">
        <v>265586</v>
      </c>
      <c r="Q6">
        <v>668908</v>
      </c>
      <c r="R6">
        <v>421906</v>
      </c>
      <c r="S6">
        <v>331297</v>
      </c>
      <c r="T6">
        <v>21512</v>
      </c>
      <c r="U6">
        <v>84860</v>
      </c>
      <c r="V6">
        <v>59474</v>
      </c>
      <c r="W6">
        <v>6594937</v>
      </c>
      <c r="Y6" t="s">
        <v>24</v>
      </c>
      <c r="Z6">
        <f>Z18-SUM(C76:C84)</f>
        <v>434620.99999999988</v>
      </c>
      <c r="AA6">
        <f t="shared" ref="AA6:AT6" si="0">AA18-SUM(D76:D84)</f>
        <v>193615.00000000003</v>
      </c>
      <c r="AB6">
        <f t="shared" si="0"/>
        <v>813689</v>
      </c>
      <c r="AC6">
        <f t="shared" si="0"/>
        <v>150795.00000000003</v>
      </c>
      <c r="AD6">
        <f t="shared" si="0"/>
        <v>58316.999999999985</v>
      </c>
      <c r="AE6">
        <f t="shared" si="0"/>
        <v>267921.00000000006</v>
      </c>
      <c r="AF6">
        <f t="shared" si="0"/>
        <v>825346</v>
      </c>
      <c r="AG6">
        <f t="shared" si="0"/>
        <v>273239.00000000006</v>
      </c>
      <c r="AH6">
        <f t="shared" si="0"/>
        <v>117465</v>
      </c>
      <c r="AI6">
        <f t="shared" si="0"/>
        <v>237574</v>
      </c>
      <c r="AJ6">
        <f t="shared" si="0"/>
        <v>454550</v>
      </c>
      <c r="AK6">
        <f t="shared" si="0"/>
        <v>656013</v>
      </c>
      <c r="AL6">
        <f t="shared" si="0"/>
        <v>258248.99999999994</v>
      </c>
      <c r="AM6">
        <f t="shared" si="0"/>
        <v>265586</v>
      </c>
      <c r="AN6">
        <f t="shared" si="0"/>
        <v>668908</v>
      </c>
      <c r="AO6">
        <f t="shared" si="0"/>
        <v>421905.99999999994</v>
      </c>
      <c r="AP6">
        <f t="shared" si="0"/>
        <v>331297</v>
      </c>
      <c r="AQ6">
        <f t="shared" si="0"/>
        <v>21512.000000000004</v>
      </c>
      <c r="AR6">
        <f t="shared" si="0"/>
        <v>84860.000000000015</v>
      </c>
      <c r="AS6">
        <f t="shared" si="0"/>
        <v>59473.999999999993</v>
      </c>
      <c r="AT6">
        <f t="shared" si="0"/>
        <v>6594937.0000000009</v>
      </c>
      <c r="AV6" t="s">
        <v>24</v>
      </c>
      <c r="AW6">
        <f>Z6-C6</f>
        <v>0</v>
      </c>
      <c r="AX6">
        <f t="shared" ref="AX6:BP13" si="1">AA6-D6</f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0</v>
      </c>
      <c r="BD6">
        <f t="shared" si="1"/>
        <v>0</v>
      </c>
      <c r="BE6">
        <f t="shared" si="1"/>
        <v>0</v>
      </c>
      <c r="BF6">
        <f t="shared" si="1"/>
        <v>0</v>
      </c>
      <c r="BG6">
        <f t="shared" si="1"/>
        <v>0</v>
      </c>
      <c r="BH6">
        <f t="shared" si="1"/>
        <v>0</v>
      </c>
      <c r="BI6">
        <f t="shared" si="1"/>
        <v>0</v>
      </c>
      <c r="BJ6">
        <f t="shared" si="1"/>
        <v>0</v>
      </c>
      <c r="BK6">
        <f t="shared" si="1"/>
        <v>0</v>
      </c>
      <c r="BL6">
        <f t="shared" si="1"/>
        <v>0</v>
      </c>
      <c r="BM6">
        <f t="shared" si="1"/>
        <v>0</v>
      </c>
      <c r="BN6">
        <f t="shared" si="1"/>
        <v>0</v>
      </c>
      <c r="BO6">
        <f t="shared" si="1"/>
        <v>0</v>
      </c>
      <c r="BP6">
        <f t="shared" si="1"/>
        <v>0</v>
      </c>
      <c r="BQ6">
        <f t="shared" ref="BQ6" si="2">BQ18-SUM(AT76:AT84)</f>
        <v>0</v>
      </c>
    </row>
    <row r="7" spans="2:69" x14ac:dyDescent="0.25">
      <c r="B7" t="s">
        <v>25</v>
      </c>
      <c r="C7">
        <v>56426</v>
      </c>
      <c r="D7">
        <v>31030</v>
      </c>
      <c r="E7">
        <v>431907</v>
      </c>
      <c r="F7">
        <v>18666</v>
      </c>
      <c r="G7">
        <v>23674</v>
      </c>
      <c r="H7">
        <v>110214</v>
      </c>
      <c r="I7">
        <v>404268</v>
      </c>
      <c r="J7">
        <v>144416</v>
      </c>
      <c r="K7">
        <v>59275</v>
      </c>
      <c r="L7">
        <v>106305</v>
      </c>
      <c r="M7">
        <v>181285</v>
      </c>
      <c r="N7">
        <v>9024</v>
      </c>
      <c r="O7">
        <v>109900</v>
      </c>
      <c r="P7">
        <v>170530</v>
      </c>
      <c r="Q7">
        <v>567850</v>
      </c>
      <c r="R7">
        <v>402499</v>
      </c>
      <c r="S7">
        <v>249411</v>
      </c>
      <c r="T7">
        <v>11879</v>
      </c>
      <c r="U7">
        <v>44310</v>
      </c>
      <c r="V7">
        <v>59474</v>
      </c>
      <c r="W7">
        <v>3192343</v>
      </c>
      <c r="Y7" t="s">
        <v>25</v>
      </c>
      <c r="Z7">
        <f>SUM(C86:C94)</f>
        <v>56426</v>
      </c>
      <c r="AA7">
        <f t="shared" ref="AA7:AT7" si="3">SUM(D86:D94)</f>
        <v>31030</v>
      </c>
      <c r="AB7">
        <f t="shared" si="3"/>
        <v>431907</v>
      </c>
      <c r="AC7">
        <f t="shared" si="3"/>
        <v>18666</v>
      </c>
      <c r="AD7">
        <f t="shared" si="3"/>
        <v>23674</v>
      </c>
      <c r="AE7">
        <f t="shared" si="3"/>
        <v>110213.99999999999</v>
      </c>
      <c r="AF7">
        <f t="shared" si="3"/>
        <v>404268</v>
      </c>
      <c r="AG7">
        <f t="shared" si="3"/>
        <v>144416</v>
      </c>
      <c r="AH7">
        <f t="shared" si="3"/>
        <v>59274.999999999993</v>
      </c>
      <c r="AI7">
        <f t="shared" si="3"/>
        <v>106305</v>
      </c>
      <c r="AJ7">
        <f t="shared" si="3"/>
        <v>181285</v>
      </c>
      <c r="AK7">
        <f t="shared" si="3"/>
        <v>9023.9999999999982</v>
      </c>
      <c r="AL7">
        <f t="shared" si="3"/>
        <v>109900.00000000001</v>
      </c>
      <c r="AM7">
        <f t="shared" si="3"/>
        <v>170530</v>
      </c>
      <c r="AN7">
        <f t="shared" si="3"/>
        <v>567850</v>
      </c>
      <c r="AO7">
        <f t="shared" si="3"/>
        <v>402499.00000000006</v>
      </c>
      <c r="AP7">
        <f t="shared" si="3"/>
        <v>249411</v>
      </c>
      <c r="AQ7">
        <f t="shared" si="3"/>
        <v>11879</v>
      </c>
      <c r="AR7">
        <f t="shared" si="3"/>
        <v>44310</v>
      </c>
      <c r="AS7">
        <f t="shared" si="3"/>
        <v>59474</v>
      </c>
      <c r="AT7">
        <f t="shared" si="3"/>
        <v>3192343</v>
      </c>
      <c r="AV7" t="s">
        <v>25</v>
      </c>
      <c r="AW7">
        <f t="shared" ref="AW7:AW13" si="4">Z7-C7</f>
        <v>0</v>
      </c>
      <c r="AX7">
        <f t="shared" si="1"/>
        <v>0</v>
      </c>
      <c r="AY7">
        <f t="shared" si="1"/>
        <v>0</v>
      </c>
      <c r="AZ7">
        <f t="shared" si="1"/>
        <v>0</v>
      </c>
      <c r="BA7">
        <f t="shared" si="1"/>
        <v>0</v>
      </c>
      <c r="BB7">
        <f t="shared" si="1"/>
        <v>0</v>
      </c>
      <c r="BC7">
        <f t="shared" si="1"/>
        <v>0</v>
      </c>
      <c r="BD7">
        <f t="shared" si="1"/>
        <v>0</v>
      </c>
      <c r="BE7">
        <f t="shared" si="1"/>
        <v>0</v>
      </c>
      <c r="BF7">
        <f t="shared" si="1"/>
        <v>0</v>
      </c>
      <c r="BG7">
        <f t="shared" si="1"/>
        <v>0</v>
      </c>
      <c r="BH7">
        <f t="shared" si="1"/>
        <v>0</v>
      </c>
      <c r="BI7">
        <f t="shared" si="1"/>
        <v>0</v>
      </c>
      <c r="BJ7">
        <f t="shared" si="1"/>
        <v>0</v>
      </c>
      <c r="BK7">
        <f t="shared" si="1"/>
        <v>0</v>
      </c>
      <c r="BL7">
        <f t="shared" si="1"/>
        <v>0</v>
      </c>
      <c r="BM7">
        <f t="shared" si="1"/>
        <v>0</v>
      </c>
      <c r="BN7">
        <f t="shared" si="1"/>
        <v>0</v>
      </c>
      <c r="BO7">
        <f t="shared" si="1"/>
        <v>0</v>
      </c>
      <c r="BP7">
        <f t="shared" si="1"/>
        <v>0</v>
      </c>
      <c r="BQ7">
        <f t="shared" ref="BQ7" si="5">SUM(AT86:AT94)</f>
        <v>0</v>
      </c>
    </row>
    <row r="8" spans="2:69" x14ac:dyDescent="0.25">
      <c r="B8" t="s">
        <v>26</v>
      </c>
      <c r="C8">
        <v>48460</v>
      </c>
      <c r="D8">
        <v>23545</v>
      </c>
      <c r="E8">
        <v>342665</v>
      </c>
      <c r="F8">
        <v>13453</v>
      </c>
      <c r="G8">
        <v>17927</v>
      </c>
      <c r="H8">
        <v>90262</v>
      </c>
      <c r="I8">
        <v>322109</v>
      </c>
      <c r="J8">
        <v>115820</v>
      </c>
      <c r="K8">
        <v>49789</v>
      </c>
      <c r="L8">
        <v>84430</v>
      </c>
      <c r="M8">
        <v>140274</v>
      </c>
      <c r="N8">
        <v>7050</v>
      </c>
      <c r="O8">
        <v>89619</v>
      </c>
      <c r="P8">
        <v>136337</v>
      </c>
      <c r="Q8">
        <v>408467</v>
      </c>
      <c r="R8">
        <v>326544</v>
      </c>
      <c r="S8">
        <v>208790</v>
      </c>
      <c r="T8">
        <v>10266</v>
      </c>
      <c r="U8">
        <v>38266</v>
      </c>
      <c r="V8">
        <v>57888</v>
      </c>
      <c r="W8">
        <v>2531961</v>
      </c>
      <c r="Y8" t="s">
        <v>26</v>
      </c>
      <c r="AV8" t="s">
        <v>26</v>
      </c>
    </row>
    <row r="9" spans="2:69" x14ac:dyDescent="0.25">
      <c r="B9" t="s">
        <v>27</v>
      </c>
      <c r="C9">
        <v>7966</v>
      </c>
      <c r="D9">
        <v>7485</v>
      </c>
      <c r="E9">
        <v>89242</v>
      </c>
      <c r="F9">
        <v>5213</v>
      </c>
      <c r="G9">
        <v>5747</v>
      </c>
      <c r="H9">
        <v>19952</v>
      </c>
      <c r="I9">
        <v>82159</v>
      </c>
      <c r="J9">
        <v>28596</v>
      </c>
      <c r="K9">
        <v>9486</v>
      </c>
      <c r="L9">
        <v>21875</v>
      </c>
      <c r="M9">
        <v>41011</v>
      </c>
      <c r="N9">
        <v>1974</v>
      </c>
      <c r="O9">
        <v>20281</v>
      </c>
      <c r="P9">
        <v>34193</v>
      </c>
      <c r="Q9">
        <v>76174</v>
      </c>
      <c r="R9">
        <v>68619</v>
      </c>
      <c r="S9">
        <v>33401</v>
      </c>
      <c r="T9">
        <v>1613</v>
      </c>
      <c r="U9">
        <v>6044</v>
      </c>
      <c r="V9">
        <v>1586</v>
      </c>
      <c r="W9">
        <v>562617</v>
      </c>
      <c r="Y9" t="s">
        <v>27</v>
      </c>
      <c r="AV9" t="s">
        <v>27</v>
      </c>
    </row>
    <row r="10" spans="2:69" x14ac:dyDescent="0.25">
      <c r="B10" t="s">
        <v>28</v>
      </c>
      <c r="C10">
        <v>7966</v>
      </c>
      <c r="D10">
        <v>6442</v>
      </c>
      <c r="E10">
        <v>85542</v>
      </c>
      <c r="F10">
        <v>3981</v>
      </c>
      <c r="G10">
        <v>5222</v>
      </c>
      <c r="H10">
        <v>19642</v>
      </c>
      <c r="I10">
        <v>81427</v>
      </c>
      <c r="J10">
        <v>27010</v>
      </c>
      <c r="K10">
        <v>9425</v>
      </c>
      <c r="L10">
        <v>20152</v>
      </c>
      <c r="M10">
        <v>34959</v>
      </c>
      <c r="N10">
        <v>1927</v>
      </c>
      <c r="O10">
        <v>19052</v>
      </c>
      <c r="P10">
        <v>33917</v>
      </c>
      <c r="Q10">
        <v>74045</v>
      </c>
      <c r="R10">
        <v>68254</v>
      </c>
      <c r="S10">
        <v>33298</v>
      </c>
      <c r="T10">
        <v>1577</v>
      </c>
      <c r="U10">
        <v>5957</v>
      </c>
      <c r="V10">
        <v>1586</v>
      </c>
      <c r="W10">
        <v>541381</v>
      </c>
      <c r="Y10" t="s">
        <v>28</v>
      </c>
      <c r="AV10" t="s">
        <v>28</v>
      </c>
    </row>
    <row r="11" spans="2:69" x14ac:dyDescent="0.25">
      <c r="B11" t="s">
        <v>29</v>
      </c>
      <c r="C11">
        <v>0</v>
      </c>
      <c r="D11">
        <v>1043</v>
      </c>
      <c r="E11">
        <v>3700</v>
      </c>
      <c r="F11">
        <v>1232</v>
      </c>
      <c r="G11">
        <v>525</v>
      </c>
      <c r="H11">
        <v>310</v>
      </c>
      <c r="I11">
        <v>732</v>
      </c>
      <c r="J11">
        <v>1586</v>
      </c>
      <c r="K11">
        <v>61</v>
      </c>
      <c r="L11">
        <v>1723</v>
      </c>
      <c r="M11">
        <v>6052</v>
      </c>
      <c r="N11">
        <v>47</v>
      </c>
      <c r="O11">
        <v>1229</v>
      </c>
      <c r="P11">
        <v>276</v>
      </c>
      <c r="Q11">
        <v>2129</v>
      </c>
      <c r="R11">
        <v>365</v>
      </c>
      <c r="S11">
        <v>103</v>
      </c>
      <c r="T11">
        <v>36</v>
      </c>
      <c r="U11">
        <v>87</v>
      </c>
      <c r="V11">
        <v>0</v>
      </c>
      <c r="W11">
        <v>21236</v>
      </c>
      <c r="Y11" t="s">
        <v>29</v>
      </c>
      <c r="AV11" t="s">
        <v>29</v>
      </c>
    </row>
    <row r="12" spans="2:69" x14ac:dyDescent="0.25"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83209</v>
      </c>
      <c r="R12">
        <v>7336</v>
      </c>
      <c r="S12">
        <v>7220</v>
      </c>
      <c r="T12">
        <v>0</v>
      </c>
      <c r="U12">
        <v>0</v>
      </c>
      <c r="V12">
        <v>0</v>
      </c>
      <c r="W12">
        <v>97765</v>
      </c>
      <c r="Y12" t="s">
        <v>30</v>
      </c>
      <c r="AV12" t="s">
        <v>30</v>
      </c>
    </row>
    <row r="13" spans="2:69" x14ac:dyDescent="0.25">
      <c r="B13" t="s">
        <v>31</v>
      </c>
      <c r="C13">
        <v>380742</v>
      </c>
      <c r="D13">
        <v>159960</v>
      </c>
      <c r="E13">
        <v>353922</v>
      </c>
      <c r="F13">
        <v>128931</v>
      </c>
      <c r="G13">
        <v>33709</v>
      </c>
      <c r="H13">
        <v>154409</v>
      </c>
      <c r="I13">
        <v>408143</v>
      </c>
      <c r="J13">
        <v>123266</v>
      </c>
      <c r="K13">
        <v>56553</v>
      </c>
      <c r="L13">
        <v>125590</v>
      </c>
      <c r="M13">
        <v>264003</v>
      </c>
      <c r="N13">
        <v>646363</v>
      </c>
      <c r="O13">
        <v>144947</v>
      </c>
      <c r="P13">
        <v>90121</v>
      </c>
      <c r="Q13">
        <v>100780</v>
      </c>
      <c r="R13">
        <v>17168</v>
      </c>
      <c r="S13">
        <v>78772</v>
      </c>
      <c r="T13">
        <v>9364</v>
      </c>
      <c r="U13">
        <v>39460</v>
      </c>
      <c r="V13">
        <v>0</v>
      </c>
      <c r="W13">
        <v>3316203</v>
      </c>
      <c r="Y13" t="s">
        <v>31</v>
      </c>
      <c r="Z13">
        <f>SUM(C106:C114)</f>
        <v>380742</v>
      </c>
      <c r="AA13">
        <f t="shared" ref="AA13:AT13" si="6">SUM(D106:D114)</f>
        <v>159960</v>
      </c>
      <c r="AB13">
        <f t="shared" si="6"/>
        <v>353921.99999999994</v>
      </c>
      <c r="AC13">
        <f t="shared" si="6"/>
        <v>128930.99999999997</v>
      </c>
      <c r="AD13">
        <f t="shared" si="6"/>
        <v>33708.999999999993</v>
      </c>
      <c r="AE13">
        <f t="shared" si="6"/>
        <v>154408.99999999997</v>
      </c>
      <c r="AF13">
        <f t="shared" si="6"/>
        <v>408142.99999999994</v>
      </c>
      <c r="AG13">
        <f t="shared" si="6"/>
        <v>123266</v>
      </c>
      <c r="AH13">
        <f t="shared" si="6"/>
        <v>56553</v>
      </c>
      <c r="AI13">
        <f t="shared" si="6"/>
        <v>125589.99999999997</v>
      </c>
      <c r="AJ13">
        <f t="shared" si="6"/>
        <v>264003</v>
      </c>
      <c r="AK13">
        <f t="shared" si="6"/>
        <v>646362.99999999988</v>
      </c>
      <c r="AL13">
        <f t="shared" si="6"/>
        <v>144946.99999999994</v>
      </c>
      <c r="AM13">
        <f t="shared" si="6"/>
        <v>90121</v>
      </c>
      <c r="AN13">
        <f t="shared" si="6"/>
        <v>100779.99999999999</v>
      </c>
      <c r="AO13">
        <f t="shared" si="6"/>
        <v>17167.999999999938</v>
      </c>
      <c r="AP13">
        <f t="shared" si="6"/>
        <v>78772.000000000015</v>
      </c>
      <c r="AQ13">
        <f t="shared" si="6"/>
        <v>9363.9999999999982</v>
      </c>
      <c r="AR13">
        <f t="shared" si="6"/>
        <v>39459.999999999993</v>
      </c>
      <c r="AS13">
        <f t="shared" si="6"/>
        <v>-8.1854523159563541E-12</v>
      </c>
      <c r="AT13">
        <f t="shared" si="6"/>
        <v>3316203.0000000005</v>
      </c>
      <c r="AV13" t="s">
        <v>31</v>
      </c>
      <c r="AW13">
        <f t="shared" si="4"/>
        <v>0</v>
      </c>
      <c r="AX13">
        <f t="shared" si="1"/>
        <v>0</v>
      </c>
      <c r="AY13">
        <f t="shared" si="1"/>
        <v>0</v>
      </c>
      <c r="AZ13">
        <f t="shared" si="1"/>
        <v>0</v>
      </c>
      <c r="BA13">
        <f t="shared" si="1"/>
        <v>0</v>
      </c>
      <c r="BB13">
        <f t="shared" si="1"/>
        <v>0</v>
      </c>
      <c r="BC13">
        <f t="shared" si="1"/>
        <v>0</v>
      </c>
      <c r="BD13">
        <f t="shared" si="1"/>
        <v>0</v>
      </c>
      <c r="BE13">
        <f t="shared" si="1"/>
        <v>0</v>
      </c>
      <c r="BF13">
        <f t="shared" si="1"/>
        <v>0</v>
      </c>
      <c r="BG13">
        <f t="shared" si="1"/>
        <v>0</v>
      </c>
      <c r="BH13">
        <f t="shared" si="1"/>
        <v>0</v>
      </c>
      <c r="BI13">
        <f t="shared" si="1"/>
        <v>0</v>
      </c>
      <c r="BJ13">
        <f t="shared" si="1"/>
        <v>0</v>
      </c>
      <c r="BK13">
        <f t="shared" si="1"/>
        <v>0</v>
      </c>
      <c r="BL13">
        <f t="shared" si="1"/>
        <v>-6.184563972055912E-11</v>
      </c>
      <c r="BM13">
        <f t="shared" si="1"/>
        <v>0</v>
      </c>
      <c r="BN13">
        <f t="shared" si="1"/>
        <v>0</v>
      </c>
      <c r="BO13">
        <f t="shared" si="1"/>
        <v>0</v>
      </c>
      <c r="BP13">
        <f t="shared" si="1"/>
        <v>-8.1854523159563541E-12</v>
      </c>
      <c r="BQ13">
        <f t="shared" ref="BQ13" si="7">SUM(AT106:AT114)</f>
        <v>0</v>
      </c>
    </row>
    <row r="14" spans="2:69" x14ac:dyDescent="0.25">
      <c r="B14" t="s">
        <v>32</v>
      </c>
      <c r="C14">
        <v>203321</v>
      </c>
      <c r="D14">
        <v>246</v>
      </c>
      <c r="E14">
        <v>26998</v>
      </c>
      <c r="F14">
        <v>0</v>
      </c>
      <c r="G14">
        <v>1342</v>
      </c>
      <c r="H14">
        <v>65864</v>
      </c>
      <c r="I14">
        <v>82745</v>
      </c>
      <c r="J14">
        <v>29289</v>
      </c>
      <c r="K14">
        <v>42901</v>
      </c>
      <c r="L14">
        <v>11697</v>
      </c>
      <c r="M14">
        <v>3241</v>
      </c>
      <c r="N14">
        <v>4446</v>
      </c>
      <c r="O14">
        <v>54428</v>
      </c>
      <c r="P14">
        <v>9330</v>
      </c>
      <c r="Q14">
        <v>0</v>
      </c>
      <c r="R14">
        <v>7282</v>
      </c>
      <c r="S14">
        <v>54843</v>
      </c>
      <c r="T14">
        <v>6843</v>
      </c>
      <c r="U14">
        <v>28548</v>
      </c>
      <c r="V14">
        <v>0</v>
      </c>
      <c r="W14">
        <v>633364</v>
      </c>
      <c r="Y14" t="s">
        <v>32</v>
      </c>
      <c r="AV14" t="s">
        <v>32</v>
      </c>
    </row>
    <row r="15" spans="2:69" x14ac:dyDescent="0.25">
      <c r="B15" t="s">
        <v>33</v>
      </c>
      <c r="C15">
        <v>177421</v>
      </c>
      <c r="D15">
        <v>159714</v>
      </c>
      <c r="E15">
        <v>326924</v>
      </c>
      <c r="F15">
        <v>128931</v>
      </c>
      <c r="G15">
        <v>32367</v>
      </c>
      <c r="H15">
        <v>88545</v>
      </c>
      <c r="I15">
        <v>325398</v>
      </c>
      <c r="J15">
        <v>93977</v>
      </c>
      <c r="K15">
        <v>13652</v>
      </c>
      <c r="L15">
        <v>113893</v>
      </c>
      <c r="M15">
        <v>260762</v>
      </c>
      <c r="N15">
        <v>641917</v>
      </c>
      <c r="O15">
        <v>90519</v>
      </c>
      <c r="P15">
        <v>80791</v>
      </c>
      <c r="Q15">
        <v>100780</v>
      </c>
      <c r="R15">
        <v>9886</v>
      </c>
      <c r="S15">
        <v>23929</v>
      </c>
      <c r="T15">
        <v>2521</v>
      </c>
      <c r="U15">
        <v>10912</v>
      </c>
      <c r="V15">
        <v>0</v>
      </c>
      <c r="W15">
        <v>2682839</v>
      </c>
      <c r="Y15" t="s">
        <v>33</v>
      </c>
      <c r="AV15" t="s">
        <v>33</v>
      </c>
    </row>
    <row r="16" spans="2:69" x14ac:dyDescent="0.25">
      <c r="B16" t="s">
        <v>34</v>
      </c>
      <c r="C16">
        <v>3036</v>
      </c>
      <c r="D16">
        <v>2656</v>
      </c>
      <c r="E16">
        <v>28537</v>
      </c>
      <c r="F16">
        <v>3241</v>
      </c>
      <c r="G16">
        <v>945</v>
      </c>
      <c r="H16">
        <v>3429</v>
      </c>
      <c r="I16">
        <v>13168</v>
      </c>
      <c r="J16">
        <v>6169</v>
      </c>
      <c r="K16">
        <v>1637</v>
      </c>
      <c r="L16">
        <v>5702</v>
      </c>
      <c r="M16">
        <v>9262</v>
      </c>
      <c r="N16">
        <v>626</v>
      </c>
      <c r="O16">
        <v>4014</v>
      </c>
      <c r="P16">
        <v>5009</v>
      </c>
      <c r="Q16">
        <v>278</v>
      </c>
      <c r="R16">
        <v>2239</v>
      </c>
      <c r="S16">
        <v>3181</v>
      </c>
      <c r="T16">
        <v>269</v>
      </c>
      <c r="U16">
        <v>1090</v>
      </c>
      <c r="V16">
        <v>0</v>
      </c>
      <c r="W16">
        <v>94488</v>
      </c>
      <c r="Y16" t="s">
        <v>34</v>
      </c>
      <c r="Z16">
        <f>SUM(C96:C104)</f>
        <v>-2547</v>
      </c>
      <c r="AA16">
        <f t="shared" ref="AA16:AT16" si="8">SUM(D96:D104)</f>
        <v>2625</v>
      </c>
      <c r="AB16">
        <f t="shared" si="8"/>
        <v>27860</v>
      </c>
      <c r="AC16">
        <f t="shared" si="8"/>
        <v>3198</v>
      </c>
      <c r="AD16">
        <f t="shared" si="8"/>
        <v>934</v>
      </c>
      <c r="AE16">
        <f t="shared" si="8"/>
        <v>3298</v>
      </c>
      <c r="AF16">
        <f t="shared" si="8"/>
        <v>12934.999999999996</v>
      </c>
      <c r="AG16">
        <f t="shared" si="8"/>
        <v>5556.9999999999991</v>
      </c>
      <c r="AH16">
        <f t="shared" si="8"/>
        <v>1637</v>
      </c>
      <c r="AI16">
        <f t="shared" si="8"/>
        <v>5679</v>
      </c>
      <c r="AJ16">
        <f t="shared" si="8"/>
        <v>9262</v>
      </c>
      <c r="AK16">
        <f t="shared" si="8"/>
        <v>625.99999999999989</v>
      </c>
      <c r="AL16">
        <f t="shared" si="8"/>
        <v>3402</v>
      </c>
      <c r="AM16">
        <f t="shared" si="8"/>
        <v>4935</v>
      </c>
      <c r="AN16">
        <f t="shared" si="8"/>
        <v>278</v>
      </c>
      <c r="AO16">
        <f t="shared" si="8"/>
        <v>2239.0000000000005</v>
      </c>
      <c r="AP16">
        <f t="shared" si="8"/>
        <v>3114</v>
      </c>
      <c r="AQ16">
        <f t="shared" si="8"/>
        <v>269</v>
      </c>
      <c r="AR16">
        <f t="shared" si="8"/>
        <v>1089.9999999999998</v>
      </c>
      <c r="AS16">
        <f t="shared" si="8"/>
        <v>0</v>
      </c>
      <c r="AT16">
        <f t="shared" si="8"/>
        <v>86391</v>
      </c>
      <c r="AV16" t="s">
        <v>34</v>
      </c>
    </row>
    <row r="17" spans="2:48" x14ac:dyDescent="0.25">
      <c r="B17" t="s">
        <v>35</v>
      </c>
      <c r="C17">
        <v>-5583</v>
      </c>
      <c r="D17">
        <v>-31</v>
      </c>
      <c r="E17">
        <v>-677</v>
      </c>
      <c r="F17">
        <v>-43</v>
      </c>
      <c r="G17">
        <v>-11</v>
      </c>
      <c r="H17">
        <v>-131</v>
      </c>
      <c r="I17">
        <v>-233</v>
      </c>
      <c r="J17">
        <v>-612</v>
      </c>
      <c r="K17">
        <v>0</v>
      </c>
      <c r="L17">
        <v>-23</v>
      </c>
      <c r="M17">
        <v>0</v>
      </c>
      <c r="N17">
        <v>0</v>
      </c>
      <c r="O17">
        <v>-612</v>
      </c>
      <c r="P17">
        <v>-74</v>
      </c>
      <c r="Q17">
        <v>0</v>
      </c>
      <c r="R17">
        <v>0</v>
      </c>
      <c r="S17">
        <v>-67</v>
      </c>
      <c r="T17">
        <v>0</v>
      </c>
      <c r="U17">
        <v>0</v>
      </c>
      <c r="V17">
        <v>0</v>
      </c>
      <c r="W17">
        <v>-8097</v>
      </c>
      <c r="Y17" t="s">
        <v>35</v>
      </c>
      <c r="AV17" t="s">
        <v>35</v>
      </c>
    </row>
    <row r="18" spans="2:48" x14ac:dyDescent="0.25">
      <c r="B18" t="s">
        <v>36</v>
      </c>
      <c r="C18">
        <v>795761</v>
      </c>
      <c r="D18">
        <v>442031</v>
      </c>
      <c r="E18">
        <v>3769376</v>
      </c>
      <c r="F18">
        <v>357896</v>
      </c>
      <c r="G18">
        <v>96845</v>
      </c>
      <c r="H18">
        <v>612501</v>
      </c>
      <c r="I18">
        <v>1404551</v>
      </c>
      <c r="J18">
        <v>628901</v>
      </c>
      <c r="K18">
        <v>262661</v>
      </c>
      <c r="L18">
        <v>435648</v>
      </c>
      <c r="M18">
        <v>700903</v>
      </c>
      <c r="N18">
        <v>711631</v>
      </c>
      <c r="O18">
        <v>436165</v>
      </c>
      <c r="P18">
        <v>385492</v>
      </c>
      <c r="Q18">
        <v>908212</v>
      </c>
      <c r="R18">
        <v>524066</v>
      </c>
      <c r="S18">
        <v>562565</v>
      </c>
      <c r="T18">
        <v>39301</v>
      </c>
      <c r="U18">
        <v>172219</v>
      </c>
      <c r="V18">
        <v>59474</v>
      </c>
      <c r="W18">
        <v>13306199</v>
      </c>
      <c r="Y18" t="s">
        <v>36</v>
      </c>
      <c r="Z18">
        <f>SUM(C56:C64)</f>
        <v>795761</v>
      </c>
      <c r="AA18">
        <f t="shared" ref="AA18:AT18" si="9">SUM(D56:D64)</f>
        <v>442031</v>
      </c>
      <c r="AB18">
        <f t="shared" si="9"/>
        <v>3769376</v>
      </c>
      <c r="AC18">
        <f t="shared" si="9"/>
        <v>357896</v>
      </c>
      <c r="AD18">
        <f t="shared" si="9"/>
        <v>96844.999999999985</v>
      </c>
      <c r="AE18">
        <f t="shared" si="9"/>
        <v>612501</v>
      </c>
      <c r="AF18">
        <f t="shared" si="9"/>
        <v>1404551</v>
      </c>
      <c r="AG18">
        <f t="shared" si="9"/>
        <v>628901</v>
      </c>
      <c r="AH18">
        <f t="shared" si="9"/>
        <v>262661</v>
      </c>
      <c r="AI18">
        <f t="shared" si="9"/>
        <v>435648</v>
      </c>
      <c r="AJ18">
        <f t="shared" si="9"/>
        <v>700903</v>
      </c>
      <c r="AK18">
        <f t="shared" si="9"/>
        <v>711631</v>
      </c>
      <c r="AL18">
        <f t="shared" si="9"/>
        <v>436164.99999999994</v>
      </c>
      <c r="AM18">
        <f t="shared" si="9"/>
        <v>385492</v>
      </c>
      <c r="AN18">
        <f t="shared" si="9"/>
        <v>908212</v>
      </c>
      <c r="AO18">
        <f t="shared" si="9"/>
        <v>524065.99999999994</v>
      </c>
      <c r="AP18">
        <f t="shared" si="9"/>
        <v>562565</v>
      </c>
      <c r="AQ18">
        <f t="shared" si="9"/>
        <v>39301</v>
      </c>
      <c r="AR18">
        <f t="shared" si="9"/>
        <v>172219</v>
      </c>
      <c r="AS18">
        <f t="shared" si="9"/>
        <v>59473.999999999993</v>
      </c>
      <c r="AT18">
        <f t="shared" si="9"/>
        <v>13306199</v>
      </c>
      <c r="AV18" t="s">
        <v>36</v>
      </c>
    </row>
    <row r="19" spans="2:48" x14ac:dyDescent="0.25">
      <c r="B19" t="s">
        <v>37</v>
      </c>
      <c r="C19">
        <v>12560399</v>
      </c>
      <c r="D19">
        <v>212274</v>
      </c>
      <c r="E19">
        <v>10560359</v>
      </c>
      <c r="F19">
        <v>167533</v>
      </c>
      <c r="G19">
        <v>574554</v>
      </c>
      <c r="H19">
        <v>7047825</v>
      </c>
      <c r="I19">
        <v>17613390</v>
      </c>
      <c r="J19">
        <v>4932125</v>
      </c>
      <c r="K19">
        <v>5020981</v>
      </c>
      <c r="L19">
        <v>1405295</v>
      </c>
      <c r="M19">
        <v>1410816</v>
      </c>
      <c r="N19">
        <v>502337</v>
      </c>
      <c r="O19">
        <v>3347216</v>
      </c>
      <c r="P19">
        <v>5324387</v>
      </c>
      <c r="Q19">
        <v>4944893</v>
      </c>
      <c r="R19">
        <v>7091331</v>
      </c>
      <c r="S19">
        <v>5906924</v>
      </c>
      <c r="T19">
        <v>959048</v>
      </c>
      <c r="U19">
        <v>4154142</v>
      </c>
      <c r="V19">
        <v>5518847</v>
      </c>
      <c r="W19">
        <v>99254676</v>
      </c>
      <c r="Y19" t="s">
        <v>37</v>
      </c>
      <c r="AV19" t="s">
        <v>37</v>
      </c>
    </row>
    <row r="21" spans="2:48" x14ac:dyDescent="0.25">
      <c r="B21">
        <v>0.96</v>
      </c>
      <c r="C21" s="2">
        <f>1/9</f>
        <v>0.1111111111111111</v>
      </c>
      <c r="D21" s="2">
        <f>C21*$B21</f>
        <v>0.10666666666666666</v>
      </c>
      <c r="E21" s="2">
        <f t="shared" ref="E21:W21" si="10">D21*$B21</f>
        <v>0.10239999999999999</v>
      </c>
      <c r="F21" s="2">
        <f t="shared" si="10"/>
        <v>9.8303999999999989E-2</v>
      </c>
      <c r="G21" s="2">
        <f t="shared" si="10"/>
        <v>9.4371839999999985E-2</v>
      </c>
      <c r="H21" s="2">
        <f t="shared" si="10"/>
        <v>9.0596966399999979E-2</v>
      </c>
      <c r="I21" s="2">
        <f t="shared" si="10"/>
        <v>8.6973087743999977E-2</v>
      </c>
      <c r="J21" s="2">
        <f t="shared" si="10"/>
        <v>8.349416423423997E-2</v>
      </c>
      <c r="K21" s="2">
        <f t="shared" si="10"/>
        <v>8.0154397664870369E-2</v>
      </c>
      <c r="L21" s="2">
        <f t="shared" si="10"/>
        <v>7.6948221758275551E-2</v>
      </c>
      <c r="M21" s="2">
        <f t="shared" si="10"/>
        <v>7.3870292887944528E-2</v>
      </c>
      <c r="N21" s="2">
        <f t="shared" si="10"/>
        <v>7.0915481172426742E-2</v>
      </c>
      <c r="O21" s="2">
        <f t="shared" si="10"/>
        <v>6.8078861925529671E-2</v>
      </c>
      <c r="P21" s="2">
        <f t="shared" si="10"/>
        <v>6.5355707448508479E-2</v>
      </c>
      <c r="Q21" s="2">
        <f t="shared" si="10"/>
        <v>6.2741479150568144E-2</v>
      </c>
      <c r="R21" s="2">
        <f t="shared" si="10"/>
        <v>6.0231819984545416E-2</v>
      </c>
      <c r="S21" s="2">
        <f t="shared" si="10"/>
        <v>5.7822547185163595E-2</v>
      </c>
      <c r="T21" s="2">
        <f t="shared" si="10"/>
        <v>5.5509645297757051E-2</v>
      </c>
      <c r="U21" s="2">
        <f t="shared" si="10"/>
        <v>5.3289259485846764E-2</v>
      </c>
      <c r="V21" s="2">
        <f t="shared" si="10"/>
        <v>5.1157689106412892E-2</v>
      </c>
      <c r="W21" s="2">
        <f t="shared" si="10"/>
        <v>4.9111381542156371E-2</v>
      </c>
    </row>
    <row r="22" spans="2:48" x14ac:dyDescent="0.25">
      <c r="B22">
        <f>B21+0.01</f>
        <v>0.97</v>
      </c>
      <c r="C22" s="2">
        <f t="shared" ref="C22:C29" si="11">1/9</f>
        <v>0.1111111111111111</v>
      </c>
      <c r="D22" s="2">
        <f t="shared" ref="D22:W22" si="12">C22*$B22</f>
        <v>0.10777777777777776</v>
      </c>
      <c r="E22" s="2">
        <f t="shared" si="12"/>
        <v>0.10454444444444443</v>
      </c>
      <c r="F22" s="2">
        <f t="shared" si="12"/>
        <v>0.10140811111111109</v>
      </c>
      <c r="G22" s="2">
        <f t="shared" si="12"/>
        <v>9.8365867777777755E-2</v>
      </c>
      <c r="H22" s="2">
        <f t="shared" si="12"/>
        <v>9.5414891744444424E-2</v>
      </c>
      <c r="I22" s="2">
        <f t="shared" si="12"/>
        <v>9.2552444992111085E-2</v>
      </c>
      <c r="J22" s="2">
        <f t="shared" si="12"/>
        <v>8.9775871642347752E-2</v>
      </c>
      <c r="K22" s="2">
        <f t="shared" si="12"/>
        <v>8.7082595493077314E-2</v>
      </c>
      <c r="L22" s="2">
        <f t="shared" si="12"/>
        <v>8.4470117628284991E-2</v>
      </c>
      <c r="M22" s="2">
        <f t="shared" si="12"/>
        <v>8.1936014099436433E-2</v>
      </c>
      <c r="N22" s="2">
        <f t="shared" si="12"/>
        <v>7.9477933676453338E-2</v>
      </c>
      <c r="O22" s="2">
        <f t="shared" si="12"/>
        <v>7.7093595666159739E-2</v>
      </c>
      <c r="P22" s="2">
        <f t="shared" si="12"/>
        <v>7.4780787796174947E-2</v>
      </c>
      <c r="Q22" s="2">
        <f t="shared" si="12"/>
        <v>7.2537364162289703E-2</v>
      </c>
      <c r="R22" s="2">
        <f t="shared" si="12"/>
        <v>7.0361243237421003E-2</v>
      </c>
      <c r="S22" s="2">
        <f t="shared" si="12"/>
        <v>6.8250405940298367E-2</v>
      </c>
      <c r="T22" s="2">
        <f t="shared" si="12"/>
        <v>6.6202893762089418E-2</v>
      </c>
      <c r="U22" s="2">
        <f t="shared" si="12"/>
        <v>6.421680694922674E-2</v>
      </c>
      <c r="V22" s="2">
        <f t="shared" si="12"/>
        <v>6.2290302740749939E-2</v>
      </c>
      <c r="W22" s="2">
        <f t="shared" si="12"/>
        <v>6.0421593658527437E-2</v>
      </c>
    </row>
    <row r="23" spans="2:48" x14ac:dyDescent="0.25">
      <c r="B23">
        <f t="shared" ref="B23:B25" si="13">B22+0.01</f>
        <v>0.98</v>
      </c>
      <c r="C23" s="2">
        <f t="shared" si="11"/>
        <v>0.1111111111111111</v>
      </c>
      <c r="D23" s="2">
        <f t="shared" ref="D23:W23" si="14">C23*$B23</f>
        <v>0.10888888888888888</v>
      </c>
      <c r="E23" s="2">
        <f t="shared" si="14"/>
        <v>0.1067111111111111</v>
      </c>
      <c r="F23" s="2">
        <f t="shared" si="14"/>
        <v>0.10457688888888889</v>
      </c>
      <c r="G23" s="2">
        <f t="shared" si="14"/>
        <v>0.10248535111111111</v>
      </c>
      <c r="H23" s="2">
        <f t="shared" si="14"/>
        <v>0.10043564408888889</v>
      </c>
      <c r="I23" s="2">
        <f t="shared" si="14"/>
        <v>9.8426931207111101E-2</v>
      </c>
      <c r="J23" s="2">
        <f t="shared" si="14"/>
        <v>9.6458392582968872E-2</v>
      </c>
      <c r="K23" s="2">
        <f t="shared" si="14"/>
        <v>9.4529224731309494E-2</v>
      </c>
      <c r="L23" s="2">
        <f t="shared" si="14"/>
        <v>9.2638640236683306E-2</v>
      </c>
      <c r="M23" s="2">
        <f t="shared" si="14"/>
        <v>9.0785867431949635E-2</v>
      </c>
      <c r="N23" s="2">
        <f t="shared" si="14"/>
        <v>8.8970150083310634E-2</v>
      </c>
      <c r="O23" s="2">
        <f t="shared" si="14"/>
        <v>8.7190747081644426E-2</v>
      </c>
      <c r="P23" s="2">
        <f t="shared" si="14"/>
        <v>8.5446932140011533E-2</v>
      </c>
      <c r="Q23" s="2">
        <f t="shared" si="14"/>
        <v>8.3737993497211297E-2</v>
      </c>
      <c r="R23" s="2">
        <f t="shared" si="14"/>
        <v>8.2063233627267071E-2</v>
      </c>
      <c r="S23" s="2">
        <f t="shared" si="14"/>
        <v>8.0421968954721729E-2</v>
      </c>
      <c r="T23" s="2">
        <f t="shared" si="14"/>
        <v>7.8813529575627289E-2</v>
      </c>
      <c r="U23" s="2">
        <f t="shared" si="14"/>
        <v>7.7237258984114737E-2</v>
      </c>
      <c r="V23" s="2">
        <f t="shared" si="14"/>
        <v>7.569251380443244E-2</v>
      </c>
      <c r="W23" s="2">
        <f t="shared" si="14"/>
        <v>7.4178663528343791E-2</v>
      </c>
    </row>
    <row r="24" spans="2:48" x14ac:dyDescent="0.25">
      <c r="B24">
        <f t="shared" si="13"/>
        <v>0.99</v>
      </c>
      <c r="C24" s="2">
        <f t="shared" si="11"/>
        <v>0.1111111111111111</v>
      </c>
      <c r="D24" s="2">
        <f t="shared" ref="D24:W25" si="15">C24*$B24</f>
        <v>0.10999999999999999</v>
      </c>
      <c r="E24" s="2">
        <f t="shared" si="15"/>
        <v>0.10889999999999998</v>
      </c>
      <c r="F24" s="2">
        <f t="shared" si="15"/>
        <v>0.10781099999999998</v>
      </c>
      <c r="G24" s="2">
        <f t="shared" si="15"/>
        <v>0.10673288999999997</v>
      </c>
      <c r="H24" s="2">
        <f t="shared" si="15"/>
        <v>0.10566556109999997</v>
      </c>
      <c r="I24" s="2">
        <f t="shared" si="15"/>
        <v>0.10460890548899997</v>
      </c>
      <c r="J24" s="2">
        <f t="shared" si="15"/>
        <v>0.10356281643410997</v>
      </c>
      <c r="K24" s="2">
        <f t="shared" si="15"/>
        <v>0.10252718826976887</v>
      </c>
      <c r="L24" s="2">
        <f t="shared" si="15"/>
        <v>0.10150191638707118</v>
      </c>
      <c r="M24" s="2">
        <f t="shared" si="15"/>
        <v>0.10048689722320046</v>
      </c>
      <c r="N24" s="2">
        <f t="shared" si="15"/>
        <v>9.9482028250968454E-2</v>
      </c>
      <c r="O24" s="2">
        <f t="shared" si="15"/>
        <v>9.8487207968458765E-2</v>
      </c>
      <c r="P24" s="2">
        <f t="shared" si="15"/>
        <v>9.7502335888774175E-2</v>
      </c>
      <c r="Q24" s="2">
        <f t="shared" si="15"/>
        <v>9.652731252988643E-2</v>
      </c>
      <c r="R24" s="2">
        <f t="shared" si="15"/>
        <v>9.5562039404587559E-2</v>
      </c>
      <c r="S24" s="2">
        <f t="shared" si="15"/>
        <v>9.460641901054169E-2</v>
      </c>
      <c r="T24" s="2">
        <f t="shared" si="15"/>
        <v>9.3660354820436276E-2</v>
      </c>
      <c r="U24" s="2">
        <f t="shared" si="15"/>
        <v>9.2723751272231911E-2</v>
      </c>
      <c r="V24" s="2">
        <f t="shared" si="15"/>
        <v>9.179651375950959E-2</v>
      </c>
      <c r="W24" s="2">
        <f t="shared" si="15"/>
        <v>9.0878548621914496E-2</v>
      </c>
    </row>
    <row r="25" spans="2:48" x14ac:dyDescent="0.25">
      <c r="B25">
        <f t="shared" si="13"/>
        <v>1</v>
      </c>
      <c r="C25" s="2">
        <f t="shared" si="11"/>
        <v>0.1111111111111111</v>
      </c>
      <c r="D25" s="2">
        <f t="shared" si="15"/>
        <v>0.1111111111111111</v>
      </c>
      <c r="E25" s="2">
        <f t="shared" si="15"/>
        <v>0.1111111111111111</v>
      </c>
      <c r="F25" s="2">
        <f t="shared" si="15"/>
        <v>0.1111111111111111</v>
      </c>
      <c r="G25" s="2">
        <f t="shared" si="15"/>
        <v>0.1111111111111111</v>
      </c>
      <c r="H25" s="2">
        <f t="shared" si="15"/>
        <v>0.1111111111111111</v>
      </c>
      <c r="I25" s="2">
        <f t="shared" si="15"/>
        <v>0.1111111111111111</v>
      </c>
      <c r="J25" s="2">
        <f t="shared" si="15"/>
        <v>0.1111111111111111</v>
      </c>
      <c r="K25" s="2">
        <f t="shared" si="15"/>
        <v>0.1111111111111111</v>
      </c>
      <c r="L25" s="2">
        <f t="shared" si="15"/>
        <v>0.1111111111111111</v>
      </c>
      <c r="M25" s="2">
        <f t="shared" si="15"/>
        <v>0.1111111111111111</v>
      </c>
      <c r="N25" s="2">
        <f t="shared" si="15"/>
        <v>0.1111111111111111</v>
      </c>
      <c r="O25" s="2">
        <f t="shared" si="15"/>
        <v>0.1111111111111111</v>
      </c>
      <c r="P25" s="2">
        <f t="shared" si="15"/>
        <v>0.1111111111111111</v>
      </c>
      <c r="Q25" s="2">
        <f t="shared" si="15"/>
        <v>0.1111111111111111</v>
      </c>
      <c r="R25" s="2">
        <f t="shared" si="15"/>
        <v>0.1111111111111111</v>
      </c>
      <c r="S25" s="2">
        <f t="shared" si="15"/>
        <v>0.1111111111111111</v>
      </c>
      <c r="T25" s="2">
        <f t="shared" si="15"/>
        <v>0.1111111111111111</v>
      </c>
      <c r="U25" s="2">
        <f t="shared" si="15"/>
        <v>0.1111111111111111</v>
      </c>
      <c r="V25" s="2">
        <f t="shared" si="15"/>
        <v>0.1111111111111111</v>
      </c>
      <c r="W25" s="2">
        <f t="shared" si="15"/>
        <v>0.1111111111111111</v>
      </c>
    </row>
    <row r="26" spans="2:48" x14ac:dyDescent="0.25">
      <c r="C26" s="2">
        <f t="shared" si="11"/>
        <v>0.1111111111111111</v>
      </c>
      <c r="D26" s="2">
        <f>1/9*2-D21</f>
        <v>0.11555555555555555</v>
      </c>
      <c r="E26" s="2">
        <f t="shared" ref="E26:W29" si="16">1/9*2-E21</f>
        <v>0.11982222222222222</v>
      </c>
      <c r="F26" s="2">
        <f t="shared" si="16"/>
        <v>0.12391822222222222</v>
      </c>
      <c r="G26" s="2">
        <f t="shared" si="16"/>
        <v>0.12785038222222223</v>
      </c>
      <c r="H26" s="2">
        <f t="shared" si="16"/>
        <v>0.13162525582222223</v>
      </c>
      <c r="I26" s="2">
        <f t="shared" si="16"/>
        <v>0.13524913447822223</v>
      </c>
      <c r="J26" s="2">
        <f t="shared" si="16"/>
        <v>0.13872805798798224</v>
      </c>
      <c r="K26" s="2">
        <f t="shared" si="16"/>
        <v>0.14206782455735184</v>
      </c>
      <c r="L26" s="2">
        <f t="shared" si="16"/>
        <v>0.14527400046394667</v>
      </c>
      <c r="M26" s="2">
        <f t="shared" si="16"/>
        <v>0.14835192933427768</v>
      </c>
      <c r="N26" s="2">
        <f t="shared" si="16"/>
        <v>0.15130674104979547</v>
      </c>
      <c r="O26" s="2">
        <f t="shared" si="16"/>
        <v>0.15414336029669254</v>
      </c>
      <c r="P26" s="2">
        <f t="shared" si="16"/>
        <v>0.15686651477371372</v>
      </c>
      <c r="Q26" s="2">
        <f t="shared" si="16"/>
        <v>0.15948074307165405</v>
      </c>
      <c r="R26" s="2">
        <f t="shared" si="16"/>
        <v>0.1619904022376768</v>
      </c>
      <c r="S26" s="2">
        <f t="shared" si="16"/>
        <v>0.1643996750370586</v>
      </c>
      <c r="T26" s="2">
        <f t="shared" si="16"/>
        <v>0.16671257692446517</v>
      </c>
      <c r="U26" s="2">
        <f t="shared" si="16"/>
        <v>0.16893296273637545</v>
      </c>
      <c r="V26" s="2">
        <f t="shared" si="16"/>
        <v>0.17106453311580933</v>
      </c>
      <c r="W26" s="2">
        <f t="shared" si="16"/>
        <v>0.17311084068006583</v>
      </c>
    </row>
    <row r="27" spans="2:48" x14ac:dyDescent="0.25">
      <c r="C27" s="2">
        <f t="shared" si="11"/>
        <v>0.1111111111111111</v>
      </c>
      <c r="D27" s="2">
        <f t="shared" ref="D27:S29" si="17">1/9*2-D22</f>
        <v>0.11444444444444445</v>
      </c>
      <c r="E27" s="2">
        <f t="shared" si="17"/>
        <v>0.11767777777777778</v>
      </c>
      <c r="F27" s="2">
        <f t="shared" si="17"/>
        <v>0.12081411111111112</v>
      </c>
      <c r="G27" s="2">
        <f t="shared" si="17"/>
        <v>0.12385635444444446</v>
      </c>
      <c r="H27" s="2">
        <f t="shared" si="17"/>
        <v>0.12680733047777779</v>
      </c>
      <c r="I27" s="2">
        <f t="shared" si="17"/>
        <v>0.12966977723011114</v>
      </c>
      <c r="J27" s="2">
        <f t="shared" si="17"/>
        <v>0.13244635057987447</v>
      </c>
      <c r="K27" s="2">
        <f t="shared" si="17"/>
        <v>0.1351396267291449</v>
      </c>
      <c r="L27" s="2">
        <f t="shared" si="17"/>
        <v>0.13775210459393722</v>
      </c>
      <c r="M27" s="2">
        <f t="shared" si="17"/>
        <v>0.14028620812278578</v>
      </c>
      <c r="N27" s="2">
        <f t="shared" si="17"/>
        <v>0.14274428854576887</v>
      </c>
      <c r="O27" s="2">
        <f t="shared" si="17"/>
        <v>0.14512862655606246</v>
      </c>
      <c r="P27" s="2">
        <f t="shared" si="17"/>
        <v>0.14744143442604726</v>
      </c>
      <c r="Q27" s="2">
        <f t="shared" si="17"/>
        <v>0.14968485805993251</v>
      </c>
      <c r="R27" s="2">
        <f t="shared" si="17"/>
        <v>0.15186097898480122</v>
      </c>
      <c r="S27" s="2">
        <f t="shared" si="17"/>
        <v>0.15397181628192386</v>
      </c>
      <c r="T27" s="2">
        <f t="shared" si="16"/>
        <v>0.15601932846013278</v>
      </c>
      <c r="U27" s="2">
        <f t="shared" si="16"/>
        <v>0.15800541527299547</v>
      </c>
      <c r="V27" s="2">
        <f t="shared" si="16"/>
        <v>0.15993191948147228</v>
      </c>
      <c r="W27" s="2">
        <f t="shared" si="16"/>
        <v>0.16180062856369476</v>
      </c>
    </row>
    <row r="28" spans="2:48" x14ac:dyDescent="0.25">
      <c r="C28" s="2">
        <f t="shared" si="11"/>
        <v>0.1111111111111111</v>
      </c>
      <c r="D28" s="2">
        <f t="shared" si="17"/>
        <v>0.11333333333333333</v>
      </c>
      <c r="E28" s="2">
        <f t="shared" si="16"/>
        <v>0.11551111111111111</v>
      </c>
      <c r="F28" s="2">
        <f t="shared" si="16"/>
        <v>0.11764533333333332</v>
      </c>
      <c r="G28" s="2">
        <f t="shared" si="16"/>
        <v>0.1197368711111111</v>
      </c>
      <c r="H28" s="2">
        <f t="shared" si="16"/>
        <v>0.12178657813333332</v>
      </c>
      <c r="I28" s="2">
        <f t="shared" si="16"/>
        <v>0.12379529101511111</v>
      </c>
      <c r="J28" s="2">
        <f t="shared" si="16"/>
        <v>0.12576382963925334</v>
      </c>
      <c r="K28" s="2">
        <f t="shared" si="16"/>
        <v>0.12769299749091273</v>
      </c>
      <c r="L28" s="2">
        <f t="shared" si="16"/>
        <v>0.1295835819855389</v>
      </c>
      <c r="M28" s="2">
        <f t="shared" si="16"/>
        <v>0.13143635479027257</v>
      </c>
      <c r="N28" s="2">
        <f t="shared" si="16"/>
        <v>0.13325207213891158</v>
      </c>
      <c r="O28" s="2">
        <f t="shared" si="16"/>
        <v>0.13503147514057778</v>
      </c>
      <c r="P28" s="2">
        <f t="shared" si="16"/>
        <v>0.13677529008221068</v>
      </c>
      <c r="Q28" s="2">
        <f t="shared" si="16"/>
        <v>0.13848422872501093</v>
      </c>
      <c r="R28" s="2">
        <f t="shared" si="16"/>
        <v>0.14015898859495513</v>
      </c>
      <c r="S28" s="2">
        <f t="shared" si="16"/>
        <v>0.14180025326750048</v>
      </c>
      <c r="T28" s="2">
        <f t="shared" si="16"/>
        <v>0.14340869264659492</v>
      </c>
      <c r="U28" s="2">
        <f t="shared" si="16"/>
        <v>0.14498496323810747</v>
      </c>
      <c r="V28" s="2">
        <f t="shared" si="16"/>
        <v>0.14652970841778978</v>
      </c>
      <c r="W28" s="2">
        <f t="shared" si="16"/>
        <v>0.14804355869387842</v>
      </c>
    </row>
    <row r="29" spans="2:48" x14ac:dyDescent="0.25">
      <c r="C29" s="2">
        <f t="shared" si="11"/>
        <v>0.1111111111111111</v>
      </c>
      <c r="D29" s="2">
        <f t="shared" si="17"/>
        <v>0.11222222222222222</v>
      </c>
      <c r="E29" s="2">
        <f t="shared" si="16"/>
        <v>0.11332222222222223</v>
      </c>
      <c r="F29" s="2">
        <f t="shared" si="16"/>
        <v>0.11441122222222223</v>
      </c>
      <c r="G29" s="2">
        <f t="shared" si="16"/>
        <v>0.11548933222222224</v>
      </c>
      <c r="H29" s="2">
        <f t="shared" si="16"/>
        <v>0.11655666112222224</v>
      </c>
      <c r="I29" s="2">
        <f t="shared" si="16"/>
        <v>0.11761331673322224</v>
      </c>
      <c r="J29" s="2">
        <f t="shared" si="16"/>
        <v>0.11865940578811224</v>
      </c>
      <c r="K29" s="2">
        <f t="shared" si="16"/>
        <v>0.11969503395245334</v>
      </c>
      <c r="L29" s="2">
        <f t="shared" si="16"/>
        <v>0.12072030583515103</v>
      </c>
      <c r="M29" s="2">
        <f t="shared" si="16"/>
        <v>0.12173532499902175</v>
      </c>
      <c r="N29" s="2">
        <f t="shared" si="16"/>
        <v>0.12274019397125376</v>
      </c>
      <c r="O29" s="2">
        <f t="shared" si="16"/>
        <v>0.12373501425376345</v>
      </c>
      <c r="P29" s="2">
        <f t="shared" si="16"/>
        <v>0.12471988633344804</v>
      </c>
      <c r="Q29" s="2">
        <f t="shared" si="16"/>
        <v>0.12569490969233577</v>
      </c>
      <c r="R29" s="2">
        <f t="shared" si="16"/>
        <v>0.12666018281763464</v>
      </c>
      <c r="S29" s="2">
        <f t="shared" si="16"/>
        <v>0.12761580321168053</v>
      </c>
      <c r="T29" s="2">
        <f t="shared" si="16"/>
        <v>0.12856186740178593</v>
      </c>
      <c r="U29" s="2">
        <f t="shared" si="16"/>
        <v>0.12949847094999029</v>
      </c>
      <c r="V29" s="2">
        <f t="shared" si="16"/>
        <v>0.13042570846271262</v>
      </c>
      <c r="W29" s="2">
        <f t="shared" si="16"/>
        <v>0.13134367360030771</v>
      </c>
    </row>
    <row r="31" spans="2:48" x14ac:dyDescent="0.25">
      <c r="C31">
        <f>SUM(C21:C29)</f>
        <v>1.0000000000000002</v>
      </c>
      <c r="D31">
        <f t="shared" ref="D31:W31" si="18">SUM(D21:D29)</f>
        <v>0.99999999999999989</v>
      </c>
      <c r="E31">
        <f t="shared" si="18"/>
        <v>0.99999999999999989</v>
      </c>
      <c r="F31">
        <f t="shared" si="18"/>
        <v>1</v>
      </c>
      <c r="G31">
        <f t="shared" si="18"/>
        <v>0.99999999999999989</v>
      </c>
      <c r="H31">
        <f t="shared" si="18"/>
        <v>0.99999999999999978</v>
      </c>
      <c r="I31">
        <f t="shared" si="18"/>
        <v>1</v>
      </c>
      <c r="J31">
        <f t="shared" si="18"/>
        <v>1</v>
      </c>
      <c r="K31">
        <f t="shared" si="18"/>
        <v>1</v>
      </c>
      <c r="L31">
        <f t="shared" si="18"/>
        <v>0.99999999999999989</v>
      </c>
      <c r="M31">
        <f t="shared" si="18"/>
        <v>1</v>
      </c>
      <c r="N31">
        <f t="shared" si="18"/>
        <v>0.99999999999999989</v>
      </c>
      <c r="O31">
        <f t="shared" si="18"/>
        <v>0.99999999999999989</v>
      </c>
      <c r="P31">
        <f t="shared" si="18"/>
        <v>0.99999999999999989</v>
      </c>
      <c r="Q31">
        <f t="shared" si="18"/>
        <v>0.99999999999999989</v>
      </c>
      <c r="R31">
        <f t="shared" si="18"/>
        <v>1</v>
      </c>
      <c r="S31">
        <f t="shared" si="18"/>
        <v>1</v>
      </c>
      <c r="T31">
        <f t="shared" si="18"/>
        <v>1</v>
      </c>
      <c r="U31">
        <f t="shared" si="18"/>
        <v>1</v>
      </c>
      <c r="V31">
        <f t="shared" si="18"/>
        <v>1</v>
      </c>
      <c r="W31">
        <f t="shared" si="18"/>
        <v>1</v>
      </c>
    </row>
    <row r="32" spans="2:48" x14ac:dyDescent="0.25">
      <c r="B32" t="s">
        <v>40</v>
      </c>
      <c r="C32">
        <v>-1.2</v>
      </c>
      <c r="D32">
        <v>-1.2</v>
      </c>
      <c r="E32">
        <v>-1.2</v>
      </c>
      <c r="F32">
        <v>-1.2</v>
      </c>
      <c r="G32">
        <v>-1.2</v>
      </c>
      <c r="H32">
        <v>-1.2</v>
      </c>
      <c r="I32">
        <v>-1.2</v>
      </c>
      <c r="J32">
        <v>-1.2</v>
      </c>
      <c r="K32">
        <v>-1.2</v>
      </c>
      <c r="L32">
        <v>-1.2</v>
      </c>
      <c r="M32">
        <v>-1.2</v>
      </c>
      <c r="N32">
        <v>-1.2</v>
      </c>
      <c r="O32">
        <v>-1.2</v>
      </c>
      <c r="P32">
        <v>-1.2</v>
      </c>
      <c r="Q32">
        <v>-1.2</v>
      </c>
      <c r="R32">
        <v>-1.2</v>
      </c>
      <c r="S32">
        <v>-1.2</v>
      </c>
      <c r="T32">
        <v>-1.2</v>
      </c>
      <c r="U32">
        <v>-1.2</v>
      </c>
      <c r="V32">
        <v>-1.2</v>
      </c>
      <c r="W32">
        <v>-1.2</v>
      </c>
    </row>
    <row r="33" spans="2:23" x14ac:dyDescent="0.25">
      <c r="B33" t="s">
        <v>41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</row>
    <row r="35" spans="2:23" x14ac:dyDescent="0.25">
      <c r="C35" t="s">
        <v>38</v>
      </c>
    </row>
    <row r="36" spans="2:23" x14ac:dyDescent="0.25"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</row>
    <row r="37" spans="2:23" x14ac:dyDescent="0.25"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</row>
    <row r="38" spans="2:23" x14ac:dyDescent="0.25">
      <c r="B38">
        <v>3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</row>
    <row r="39" spans="2:23" x14ac:dyDescent="0.25">
      <c r="B39">
        <v>4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</row>
    <row r="40" spans="2:23" x14ac:dyDescent="0.25">
      <c r="B40">
        <v>5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</row>
    <row r="41" spans="2:23" x14ac:dyDescent="0.25">
      <c r="B41">
        <v>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</row>
    <row r="42" spans="2:23" x14ac:dyDescent="0.25">
      <c r="B42">
        <v>7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</row>
    <row r="43" spans="2:23" x14ac:dyDescent="0.25">
      <c r="B43">
        <v>8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</row>
    <row r="44" spans="2:23" x14ac:dyDescent="0.25">
      <c r="B44">
        <v>9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</row>
    <row r="45" spans="2:23" x14ac:dyDescent="0.25">
      <c r="C45" t="s">
        <v>39</v>
      </c>
    </row>
    <row r="46" spans="2:23" x14ac:dyDescent="0.25">
      <c r="B46">
        <v>1</v>
      </c>
      <c r="C46">
        <f>(C21/(C36^C$32))^(1/C$33)</f>
        <v>0.33333333333333331</v>
      </c>
      <c r="D46">
        <f t="shared" ref="D46:W54" si="19">(D21/(D36^D$32))^(1/D$33)</f>
        <v>0.32659863237109038</v>
      </c>
      <c r="E46">
        <f t="shared" si="19"/>
        <v>0.32</v>
      </c>
      <c r="F46">
        <f t="shared" si="19"/>
        <v>0.31353468707624677</v>
      </c>
      <c r="G46">
        <f t="shared" si="19"/>
        <v>0.30719999999999997</v>
      </c>
      <c r="H46">
        <f t="shared" si="19"/>
        <v>0.30099329959319687</v>
      </c>
      <c r="I46">
        <f t="shared" si="19"/>
        <v>0.29491199999999995</v>
      </c>
      <c r="J46">
        <f t="shared" si="19"/>
        <v>0.288953567609469</v>
      </c>
      <c r="K46">
        <f t="shared" si="19"/>
        <v>0.28311551999999995</v>
      </c>
      <c r="L46">
        <f t="shared" si="19"/>
        <v>0.27739542490509023</v>
      </c>
      <c r="M46">
        <f t="shared" si="19"/>
        <v>0.27179089919999994</v>
      </c>
      <c r="N46">
        <f t="shared" si="19"/>
        <v>0.26629960790888663</v>
      </c>
      <c r="O46">
        <f t="shared" si="19"/>
        <v>0.26091926323199993</v>
      </c>
      <c r="P46">
        <f t="shared" si="19"/>
        <v>0.25564762359253113</v>
      </c>
      <c r="Q46">
        <f t="shared" si="19"/>
        <v>0.25048249270271994</v>
      </c>
      <c r="R46">
        <f t="shared" si="19"/>
        <v>0.24542171864882989</v>
      </c>
      <c r="S46">
        <f t="shared" si="19"/>
        <v>0.24046319299461111</v>
      </c>
      <c r="T46">
        <f t="shared" si="19"/>
        <v>0.2356048499028767</v>
      </c>
      <c r="U46">
        <f t="shared" si="19"/>
        <v>0.23084466527482667</v>
      </c>
      <c r="V46">
        <f t="shared" si="19"/>
        <v>0.22618065590676159</v>
      </c>
      <c r="W46">
        <f t="shared" si="19"/>
        <v>0.22161087866383358</v>
      </c>
    </row>
    <row r="47" spans="2:23" x14ac:dyDescent="0.25">
      <c r="B47">
        <v>2</v>
      </c>
      <c r="C47">
        <f t="shared" ref="C47:R54" si="20">(C22/(C37^C$32))^(1/C$33)</f>
        <v>0.33333333333333331</v>
      </c>
      <c r="D47">
        <f t="shared" si="20"/>
        <v>0.32829526005987014</v>
      </c>
      <c r="E47">
        <f t="shared" si="20"/>
        <v>0.32333333333333331</v>
      </c>
      <c r="F47">
        <f t="shared" si="20"/>
        <v>0.31844640225807402</v>
      </c>
      <c r="G47">
        <f t="shared" si="20"/>
        <v>0.31363333333333332</v>
      </c>
      <c r="H47">
        <f t="shared" si="20"/>
        <v>0.30889301019033177</v>
      </c>
      <c r="I47">
        <f t="shared" si="20"/>
        <v>0.30422433333333326</v>
      </c>
      <c r="J47">
        <f t="shared" si="20"/>
        <v>0.29962621988462185</v>
      </c>
      <c r="K47">
        <f t="shared" si="20"/>
        <v>0.29509760333333329</v>
      </c>
      <c r="L47">
        <f t="shared" si="20"/>
        <v>0.29063743328808317</v>
      </c>
      <c r="M47">
        <f t="shared" si="20"/>
        <v>0.28624467523333325</v>
      </c>
      <c r="N47">
        <f t="shared" si="20"/>
        <v>0.28191831028944064</v>
      </c>
      <c r="O47">
        <f t="shared" si="20"/>
        <v>0.27765733497633327</v>
      </c>
      <c r="P47">
        <f t="shared" si="20"/>
        <v>0.27346076098075744</v>
      </c>
      <c r="Q47">
        <f t="shared" si="20"/>
        <v>0.26932761492704327</v>
      </c>
      <c r="R47">
        <f t="shared" si="20"/>
        <v>0.26525693815133472</v>
      </c>
      <c r="S47">
        <f t="shared" si="19"/>
        <v>0.26124778647923197</v>
      </c>
      <c r="T47">
        <f t="shared" si="19"/>
        <v>0.25729923000679467</v>
      </c>
      <c r="U47">
        <f t="shared" si="19"/>
        <v>0.25341035288485503</v>
      </c>
      <c r="V47">
        <f t="shared" si="19"/>
        <v>0.24958025310659082</v>
      </c>
      <c r="W47">
        <f t="shared" si="19"/>
        <v>0.24580804229830935</v>
      </c>
    </row>
    <row r="48" spans="2:23" x14ac:dyDescent="0.25">
      <c r="B48">
        <v>3</v>
      </c>
      <c r="C48">
        <f t="shared" si="20"/>
        <v>0.33333333333333331</v>
      </c>
      <c r="D48">
        <f t="shared" si="19"/>
        <v>0.32998316455372217</v>
      </c>
      <c r="E48">
        <f t="shared" si="19"/>
        <v>0.32666666666666666</v>
      </c>
      <c r="F48">
        <f t="shared" si="19"/>
        <v>0.32338350126264775</v>
      </c>
      <c r="G48">
        <f t="shared" si="19"/>
        <v>0.32013333333333333</v>
      </c>
      <c r="H48">
        <f t="shared" si="19"/>
        <v>0.31691583123739475</v>
      </c>
      <c r="I48">
        <f t="shared" si="19"/>
        <v>0.31373066666666666</v>
      </c>
      <c r="J48">
        <f t="shared" si="19"/>
        <v>0.31057751461264688</v>
      </c>
      <c r="K48">
        <f t="shared" si="19"/>
        <v>0.30745605333333331</v>
      </c>
      <c r="L48">
        <f t="shared" si="19"/>
        <v>0.30436596432039392</v>
      </c>
      <c r="M48">
        <f t="shared" si="19"/>
        <v>0.30130693226666666</v>
      </c>
      <c r="N48">
        <f t="shared" si="19"/>
        <v>0.29827864503398605</v>
      </c>
      <c r="O48">
        <f t="shared" si="19"/>
        <v>0.2952807936213333</v>
      </c>
      <c r="P48">
        <f t="shared" si="19"/>
        <v>0.29231307213330632</v>
      </c>
      <c r="Q48">
        <f t="shared" si="19"/>
        <v>0.28937517774890659</v>
      </c>
      <c r="R48">
        <f t="shared" si="19"/>
        <v>0.28646681069064017</v>
      </c>
      <c r="S48">
        <f t="shared" si="19"/>
        <v>0.2835876741939285</v>
      </c>
      <c r="T48">
        <f t="shared" si="19"/>
        <v>0.28073747447682734</v>
      </c>
      <c r="U48">
        <f t="shared" si="19"/>
        <v>0.27791592071004989</v>
      </c>
      <c r="V48">
        <f t="shared" si="19"/>
        <v>0.27512272498729079</v>
      </c>
      <c r="W48">
        <f t="shared" si="19"/>
        <v>0.27235760229584888</v>
      </c>
    </row>
    <row r="49" spans="2:23" x14ac:dyDescent="0.25">
      <c r="B49">
        <v>4</v>
      </c>
      <c r="C49">
        <f t="shared" si="20"/>
        <v>0.33333333333333331</v>
      </c>
      <c r="D49">
        <f t="shared" si="19"/>
        <v>0.33166247903553997</v>
      </c>
      <c r="E49">
        <f t="shared" si="19"/>
        <v>0.32999999999999996</v>
      </c>
      <c r="F49">
        <f t="shared" si="19"/>
        <v>0.32834585424518453</v>
      </c>
      <c r="G49">
        <f t="shared" si="19"/>
        <v>0.32669999999999993</v>
      </c>
      <c r="H49">
        <f t="shared" si="19"/>
        <v>0.32506239570273271</v>
      </c>
      <c r="I49">
        <f t="shared" si="19"/>
        <v>0.32343299999999997</v>
      </c>
      <c r="J49">
        <f t="shared" si="19"/>
        <v>0.32181177174570536</v>
      </c>
      <c r="K49">
        <f t="shared" si="19"/>
        <v>0.32019866999999996</v>
      </c>
      <c r="L49">
        <f t="shared" si="19"/>
        <v>0.3185936540282483</v>
      </c>
      <c r="M49">
        <f t="shared" si="19"/>
        <v>0.31699668329999997</v>
      </c>
      <c r="N49">
        <f t="shared" si="19"/>
        <v>0.31540771748796581</v>
      </c>
      <c r="O49">
        <f t="shared" si="19"/>
        <v>0.31382671646699994</v>
      </c>
      <c r="P49">
        <f t="shared" si="19"/>
        <v>0.31225364031308617</v>
      </c>
      <c r="Q49">
        <f t="shared" si="19"/>
        <v>0.31068844930232992</v>
      </c>
      <c r="R49">
        <f t="shared" si="19"/>
        <v>0.30913110390995524</v>
      </c>
      <c r="S49">
        <f t="shared" si="19"/>
        <v>0.3075815648093066</v>
      </c>
      <c r="T49">
        <f t="shared" si="19"/>
        <v>0.30603979287085575</v>
      </c>
      <c r="U49">
        <f t="shared" si="19"/>
        <v>0.30450574916121353</v>
      </c>
      <c r="V49">
        <f t="shared" si="19"/>
        <v>0.30297939494214715</v>
      </c>
      <c r="W49">
        <f t="shared" si="19"/>
        <v>0.30146069166960143</v>
      </c>
    </row>
    <row r="50" spans="2:23" x14ac:dyDescent="0.25">
      <c r="B50">
        <v>5</v>
      </c>
      <c r="C50">
        <f t="shared" si="20"/>
        <v>0.33333333333333331</v>
      </c>
      <c r="D50">
        <f t="shared" si="19"/>
        <v>0.33333333333333331</v>
      </c>
      <c r="E50">
        <f t="shared" si="19"/>
        <v>0.33333333333333331</v>
      </c>
      <c r="F50">
        <f t="shared" si="19"/>
        <v>0.33333333333333331</v>
      </c>
      <c r="G50">
        <f t="shared" si="19"/>
        <v>0.33333333333333331</v>
      </c>
      <c r="H50">
        <f t="shared" si="19"/>
        <v>0.33333333333333331</v>
      </c>
      <c r="I50">
        <f t="shared" si="19"/>
        <v>0.33333333333333331</v>
      </c>
      <c r="J50">
        <f t="shared" si="19"/>
        <v>0.33333333333333331</v>
      </c>
      <c r="K50">
        <f t="shared" si="19"/>
        <v>0.33333333333333331</v>
      </c>
      <c r="L50">
        <f t="shared" si="19"/>
        <v>0.33333333333333331</v>
      </c>
      <c r="M50">
        <f t="shared" si="19"/>
        <v>0.33333333333333331</v>
      </c>
      <c r="N50">
        <f t="shared" si="19"/>
        <v>0.33333333333333331</v>
      </c>
      <c r="O50">
        <f t="shared" si="19"/>
        <v>0.33333333333333331</v>
      </c>
      <c r="P50">
        <f t="shared" si="19"/>
        <v>0.33333333333333331</v>
      </c>
      <c r="Q50">
        <f t="shared" si="19"/>
        <v>0.33333333333333331</v>
      </c>
      <c r="R50">
        <f t="shared" si="19"/>
        <v>0.33333333333333331</v>
      </c>
      <c r="S50">
        <f t="shared" si="19"/>
        <v>0.33333333333333331</v>
      </c>
      <c r="T50">
        <f t="shared" si="19"/>
        <v>0.33333333333333331</v>
      </c>
      <c r="U50">
        <f t="shared" si="19"/>
        <v>0.33333333333333331</v>
      </c>
      <c r="V50">
        <f t="shared" si="19"/>
        <v>0.33333333333333331</v>
      </c>
      <c r="W50">
        <f t="shared" si="19"/>
        <v>0.33333333333333331</v>
      </c>
    </row>
    <row r="51" spans="2:23" x14ac:dyDescent="0.25">
      <c r="B51">
        <v>6</v>
      </c>
      <c r="C51">
        <f t="shared" si="20"/>
        <v>0.33333333333333331</v>
      </c>
      <c r="D51">
        <f t="shared" si="19"/>
        <v>0.33993463423951897</v>
      </c>
      <c r="E51">
        <f t="shared" si="19"/>
        <v>0.34615346628659116</v>
      </c>
      <c r="F51">
        <f t="shared" si="19"/>
        <v>0.3520202014405171</v>
      </c>
      <c r="G51">
        <f t="shared" si="19"/>
        <v>0.35756171806028431</v>
      </c>
      <c r="H51">
        <f t="shared" si="19"/>
        <v>0.36280195123816827</v>
      </c>
      <c r="I51">
        <f t="shared" si="19"/>
        <v>0.36776233422989668</v>
      </c>
      <c r="J51">
        <f t="shared" si="19"/>
        <v>0.37246215645080272</v>
      </c>
      <c r="K51">
        <f t="shared" si="19"/>
        <v>0.37691885672827757</v>
      </c>
      <c r="L51">
        <f t="shared" si="19"/>
        <v>0.38114826572338839</v>
      </c>
      <c r="M51">
        <f t="shared" si="19"/>
        <v>0.38516480801635772</v>
      </c>
      <c r="N51">
        <f t="shared" si="19"/>
        <v>0.388981671868734</v>
      </c>
      <c r="O51">
        <f t="shared" si="19"/>
        <v>0.39261095284860881</v>
      </c>
      <c r="P51">
        <f t="shared" si="19"/>
        <v>0.3960637761443398</v>
      </c>
      <c r="Q51">
        <f t="shared" si="19"/>
        <v>0.39935040136658689</v>
      </c>
      <c r="R51">
        <f t="shared" si="19"/>
        <v>0.40248031285725866</v>
      </c>
      <c r="S51">
        <f t="shared" si="19"/>
        <v>0.40546229792307276</v>
      </c>
      <c r="T51">
        <f t="shared" si="19"/>
        <v>0.40830451494499198</v>
      </c>
      <c r="U51">
        <f t="shared" si="19"/>
        <v>0.41101455294961936</v>
      </c>
      <c r="V51">
        <f t="shared" si="19"/>
        <v>0.41359948394045337</v>
      </c>
      <c r="W51">
        <f t="shared" si="19"/>
        <v>0.41606590905776675</v>
      </c>
    </row>
    <row r="52" spans="2:23" x14ac:dyDescent="0.25">
      <c r="B52">
        <v>7</v>
      </c>
      <c r="C52">
        <f t="shared" si="20"/>
        <v>0.33333333333333331</v>
      </c>
      <c r="D52">
        <f t="shared" si="19"/>
        <v>0.338296385503074</v>
      </c>
      <c r="E52">
        <f t="shared" si="19"/>
        <v>0.34304194754836875</v>
      </c>
      <c r="F52">
        <f t="shared" si="19"/>
        <v>0.34758324342682445</v>
      </c>
      <c r="G52">
        <f t="shared" si="19"/>
        <v>0.35193231514659812</v>
      </c>
      <c r="H52">
        <f t="shared" si="19"/>
        <v>0.35610016916280424</v>
      </c>
      <c r="I52">
        <f t="shared" si="19"/>
        <v>0.36009689977853343</v>
      </c>
      <c r="J52">
        <f t="shared" si="19"/>
        <v>0.36393179385686336</v>
      </c>
      <c r="K52">
        <f t="shared" si="19"/>
        <v>0.36761342022448651</v>
      </c>
      <c r="L52">
        <f t="shared" si="19"/>
        <v>0.37114970644463297</v>
      </c>
      <c r="M52">
        <f t="shared" si="19"/>
        <v>0.37454800509785896</v>
      </c>
      <c r="N52">
        <f t="shared" si="19"/>
        <v>0.37781515129196297</v>
      </c>
      <c r="O52">
        <f t="shared" si="19"/>
        <v>0.38095751279645668</v>
      </c>
      <c r="P52">
        <f t="shared" si="19"/>
        <v>0.38398103394054145</v>
      </c>
      <c r="Q52">
        <f t="shared" si="19"/>
        <v>0.38689127421012287</v>
      </c>
      <c r="R52">
        <f t="shared" si="19"/>
        <v>0.38969344231690789</v>
      </c>
      <c r="S52">
        <f t="shared" si="19"/>
        <v>0.39239242638196248</v>
      </c>
      <c r="T52">
        <f t="shared" si="19"/>
        <v>0.3949928207703689</v>
      </c>
      <c r="U52">
        <f t="shared" si="19"/>
        <v>0.39749895002753838</v>
      </c>
      <c r="V52">
        <f t="shared" si="19"/>
        <v>0.39991489029726346</v>
      </c>
      <c r="W52">
        <f t="shared" si="19"/>
        <v>0.40224448854359057</v>
      </c>
    </row>
    <row r="53" spans="2:23" x14ac:dyDescent="0.25">
      <c r="B53">
        <v>8</v>
      </c>
      <c r="C53">
        <f t="shared" si="20"/>
        <v>0.33333333333333331</v>
      </c>
      <c r="D53">
        <f t="shared" si="19"/>
        <v>0.33665016461206926</v>
      </c>
      <c r="E53">
        <f t="shared" si="19"/>
        <v>0.33986925590749029</v>
      </c>
      <c r="F53">
        <f t="shared" si="19"/>
        <v>0.34299465496321269</v>
      </c>
      <c r="G53">
        <f t="shared" si="19"/>
        <v>0.34603015925076691</v>
      </c>
      <c r="H53">
        <f t="shared" si="19"/>
        <v>0.34897933768825529</v>
      </c>
      <c r="I53">
        <f t="shared" si="19"/>
        <v>0.35184554994359546</v>
      </c>
      <c r="J53">
        <f t="shared" si="19"/>
        <v>0.35463196364576804</v>
      </c>
      <c r="K53">
        <f t="shared" si="19"/>
        <v>0.35734156977731085</v>
      </c>
      <c r="L53">
        <f t="shared" si="19"/>
        <v>0.35997719647991439</v>
      </c>
      <c r="M53">
        <f t="shared" si="19"/>
        <v>0.36254152147067592</v>
      </c>
      <c r="N53">
        <f t="shared" si="19"/>
        <v>0.36503708323800688</v>
      </c>
      <c r="O53">
        <f t="shared" si="19"/>
        <v>0.36746629116230212</v>
      </c>
      <c r="P53">
        <f t="shared" si="19"/>
        <v>0.36983143468641316</v>
      </c>
      <c r="Q53">
        <f t="shared" si="19"/>
        <v>0.37213469164404833</v>
      </c>
      <c r="R53">
        <f t="shared" si="19"/>
        <v>0.37437813583989532</v>
      </c>
      <c r="S53">
        <f t="shared" si="19"/>
        <v>0.37656374396309117</v>
      </c>
      <c r="T53">
        <f t="shared" si="19"/>
        <v>0.37869340190528133</v>
      </c>
      <c r="U53">
        <f t="shared" si="19"/>
        <v>0.38076891054563194</v>
      </c>
      <c r="V53">
        <f t="shared" si="19"/>
        <v>0.38279199105753214</v>
      </c>
      <c r="W53">
        <f t="shared" si="19"/>
        <v>0.38476428978515981</v>
      </c>
    </row>
    <row r="54" spans="2:23" x14ac:dyDescent="0.25">
      <c r="B54">
        <v>9</v>
      </c>
      <c r="C54">
        <f t="shared" si="20"/>
        <v>0.33333333333333331</v>
      </c>
      <c r="D54">
        <f t="shared" si="19"/>
        <v>0.33499585403736298</v>
      </c>
      <c r="E54">
        <f t="shared" si="19"/>
        <v>0.33663366174852782</v>
      </c>
      <c r="F54">
        <f t="shared" si="19"/>
        <v>0.33824727969670687</v>
      </c>
      <c r="G54">
        <f t="shared" si="19"/>
        <v>0.33983721429858477</v>
      </c>
      <c r="H54">
        <f t="shared" si="19"/>
        <v>0.34140395592643952</v>
      </c>
      <c r="I54">
        <f t="shared" si="19"/>
        <v>0.34294797963134621</v>
      </c>
      <c r="J54">
        <f t="shared" si="19"/>
        <v>0.34446974582408862</v>
      </c>
      <c r="K54">
        <f t="shared" si="19"/>
        <v>0.3459697009167903</v>
      </c>
      <c r="L54">
        <f t="shared" si="19"/>
        <v>0.34744827792802635</v>
      </c>
      <c r="M54">
        <f t="shared" si="19"/>
        <v>0.34890589705395025</v>
      </c>
      <c r="N54">
        <f t="shared" si="19"/>
        <v>0.35034296620776301</v>
      </c>
      <c r="O54">
        <f t="shared" si="19"/>
        <v>0.35175988152966425</v>
      </c>
      <c r="P54">
        <f t="shared" si="19"/>
        <v>0.35315702786925823</v>
      </c>
      <c r="Q54">
        <f t="shared" si="19"/>
        <v>0.35453477924222859</v>
      </c>
      <c r="R54">
        <f t="shared" si="19"/>
        <v>0.35589349926296016</v>
      </c>
      <c r="S54">
        <f t="shared" si="19"/>
        <v>0.35723354155465376</v>
      </c>
      <c r="T54">
        <f t="shared" si="19"/>
        <v>0.35855525013836559</v>
      </c>
      <c r="U54">
        <f t="shared" si="19"/>
        <v>0.35985895980229571</v>
      </c>
      <c r="V54">
        <f t="shared" si="19"/>
        <v>0.36114499645255038</v>
      </c>
      <c r="W54">
        <f t="shared" si="19"/>
        <v>0.36241367744651654</v>
      </c>
    </row>
    <row r="55" spans="2:23" x14ac:dyDescent="0.25">
      <c r="C55" t="s">
        <v>36</v>
      </c>
    </row>
    <row r="56" spans="2:23" x14ac:dyDescent="0.25">
      <c r="B56">
        <v>1</v>
      </c>
      <c r="C56">
        <f>C21*C$18</f>
        <v>88417.888888888891</v>
      </c>
      <c r="D56">
        <f t="shared" ref="D56:W56" si="21">D21*D$18</f>
        <v>47149.973333333328</v>
      </c>
      <c r="E56">
        <f t="shared" si="21"/>
        <v>385984.10239999997</v>
      </c>
      <c r="F56">
        <f t="shared" si="21"/>
        <v>35182.608383999999</v>
      </c>
      <c r="G56">
        <f t="shared" si="21"/>
        <v>9139.4408447999976</v>
      </c>
      <c r="H56">
        <f t="shared" si="21"/>
        <v>55490.732516966389</v>
      </c>
      <c r="I56">
        <f t="shared" si="21"/>
        <v>122158.13736392291</v>
      </c>
      <c r="J56">
        <f t="shared" si="21"/>
        <v>52509.563381077751</v>
      </c>
      <c r="K56">
        <f t="shared" si="21"/>
        <v>21053.434245052515</v>
      </c>
      <c r="L56">
        <f t="shared" si="21"/>
        <v>33522.338912549225</v>
      </c>
      <c r="M56">
        <f t="shared" si="21"/>
        <v>51775.909896038982</v>
      </c>
      <c r="N56">
        <f t="shared" si="21"/>
        <v>50465.654782215213</v>
      </c>
      <c r="O56">
        <f t="shared" si="21"/>
        <v>29693.616811748649</v>
      </c>
      <c r="P56">
        <f t="shared" si="21"/>
        <v>25194.102375740429</v>
      </c>
      <c r="Q56">
        <f t="shared" si="21"/>
        <v>56982.564262295797</v>
      </c>
      <c r="R56">
        <f t="shared" si="21"/>
        <v>31565.448972020778</v>
      </c>
      <c r="S56">
        <f t="shared" si="21"/>
        <v>32528.941257221559</v>
      </c>
      <c r="T56">
        <f t="shared" si="21"/>
        <v>2181.5845698471499</v>
      </c>
      <c r="U56">
        <f t="shared" si="21"/>
        <v>9177.4229793930444</v>
      </c>
      <c r="V56">
        <f t="shared" si="21"/>
        <v>3042.5524019148002</v>
      </c>
      <c r="W56">
        <f t="shared" si="21"/>
        <v>653485.81596485956</v>
      </c>
    </row>
    <row r="57" spans="2:23" x14ac:dyDescent="0.25">
      <c r="B57">
        <v>2</v>
      </c>
      <c r="C57">
        <f t="shared" ref="C57:W57" si="22">C22*C$18</f>
        <v>88417.888888888891</v>
      </c>
      <c r="D57">
        <f t="shared" si="22"/>
        <v>47641.118888888886</v>
      </c>
      <c r="E57">
        <f t="shared" si="22"/>
        <v>394067.31982222217</v>
      </c>
      <c r="F57">
        <f t="shared" si="22"/>
        <v>36293.557334222212</v>
      </c>
      <c r="G57">
        <f t="shared" si="22"/>
        <v>9526.2424649388868</v>
      </c>
      <c r="H57">
        <f t="shared" si="22"/>
        <v>58441.716608363953</v>
      </c>
      <c r="I57">
        <f t="shared" si="22"/>
        <v>129994.62916611462</v>
      </c>
      <c r="J57">
        <f t="shared" si="22"/>
        <v>56460.135451744143</v>
      </c>
      <c r="K57">
        <f t="shared" si="22"/>
        <v>22873.201614807182</v>
      </c>
      <c r="L57">
        <f t="shared" si="22"/>
        <v>36799.237804527096</v>
      </c>
      <c r="M57">
        <f t="shared" si="22"/>
        <v>57429.198090337297</v>
      </c>
      <c r="N57">
        <f t="shared" si="22"/>
        <v>56558.961420108164</v>
      </c>
      <c r="O57">
        <f t="shared" si="22"/>
        <v>33625.528153730564</v>
      </c>
      <c r="P57">
        <f t="shared" si="22"/>
        <v>28827.395449123072</v>
      </c>
      <c r="Q57">
        <f t="shared" si="22"/>
        <v>65879.304580561453</v>
      </c>
      <c r="R57">
        <f t="shared" si="22"/>
        <v>36873.935298462275</v>
      </c>
      <c r="S57">
        <f t="shared" si="22"/>
        <v>38395.289617803952</v>
      </c>
      <c r="T57">
        <f t="shared" si="22"/>
        <v>2601.8399277438762</v>
      </c>
      <c r="U57">
        <f t="shared" si="22"/>
        <v>11059.354275988881</v>
      </c>
      <c r="V57">
        <f t="shared" si="22"/>
        <v>3704.653465203362</v>
      </c>
      <c r="W57">
        <f t="shared" si="22"/>
        <v>803981.74911750411</v>
      </c>
    </row>
    <row r="58" spans="2:23" x14ac:dyDescent="0.25">
      <c r="B58">
        <v>3</v>
      </c>
      <c r="C58">
        <f t="shared" ref="C58:W58" si="23">C23*C$18</f>
        <v>88417.888888888891</v>
      </c>
      <c r="D58">
        <f t="shared" si="23"/>
        <v>48132.264444444445</v>
      </c>
      <c r="E58">
        <f t="shared" si="23"/>
        <v>402234.30115555553</v>
      </c>
      <c r="F58">
        <f t="shared" si="23"/>
        <v>37427.650225777776</v>
      </c>
      <c r="G58">
        <f t="shared" si="23"/>
        <v>9925.1938283555555</v>
      </c>
      <c r="H58">
        <f t="shared" si="23"/>
        <v>61516.932440088531</v>
      </c>
      <c r="I58">
        <f t="shared" si="23"/>
        <v>138245.64465387911</v>
      </c>
      <c r="J58">
        <f t="shared" si="23"/>
        <v>60662.779553821703</v>
      </c>
      <c r="K58">
        <f t="shared" si="23"/>
        <v>24829.140697150484</v>
      </c>
      <c r="L58">
        <f t="shared" si="23"/>
        <v>40357.838341830611</v>
      </c>
      <c r="M58">
        <f t="shared" si="23"/>
        <v>63632.086840655793</v>
      </c>
      <c r="N58">
        <f t="shared" si="23"/>
        <v>63313.916873936432</v>
      </c>
      <c r="O58">
        <f t="shared" si="23"/>
        <v>38029.552200865444</v>
      </c>
      <c r="P58">
        <f t="shared" si="23"/>
        <v>32939.108764517325</v>
      </c>
      <c r="Q58">
        <f t="shared" si="23"/>
        <v>76051.850550089264</v>
      </c>
      <c r="R58">
        <f t="shared" si="23"/>
        <v>43006.550594107342</v>
      </c>
      <c r="S58">
        <f t="shared" si="23"/>
        <v>45242.584965013026</v>
      </c>
      <c r="T58">
        <f t="shared" si="23"/>
        <v>3097.4505258517279</v>
      </c>
      <c r="U58">
        <f t="shared" si="23"/>
        <v>13301.723504985255</v>
      </c>
      <c r="V58">
        <f t="shared" si="23"/>
        <v>4501.7365660048154</v>
      </c>
      <c r="W58">
        <f t="shared" si="23"/>
        <v>987036.05846218462</v>
      </c>
    </row>
    <row r="59" spans="2:23" x14ac:dyDescent="0.25">
      <c r="B59">
        <v>4</v>
      </c>
      <c r="C59">
        <f t="shared" ref="C59:W59" si="24">C24*C$18</f>
        <v>88417.888888888891</v>
      </c>
      <c r="D59">
        <f t="shared" si="24"/>
        <v>48623.409999999996</v>
      </c>
      <c r="E59">
        <f t="shared" si="24"/>
        <v>410485.04639999993</v>
      </c>
      <c r="F59">
        <f t="shared" si="24"/>
        <v>38585.125655999989</v>
      </c>
      <c r="G59">
        <f t="shared" si="24"/>
        <v>10336.546732049997</v>
      </c>
      <c r="H59">
        <f t="shared" si="24"/>
        <v>64720.261839311082</v>
      </c>
      <c r="I59">
        <f t="shared" si="24"/>
        <v>146928.5428134804</v>
      </c>
      <c r="J59">
        <f t="shared" si="24"/>
        <v>65130.758818228198</v>
      </c>
      <c r="K59">
        <f t="shared" si="24"/>
        <v>26929.893798125759</v>
      </c>
      <c r="L59">
        <f t="shared" si="24"/>
        <v>44219.106870194788</v>
      </c>
      <c r="M59">
        <f t="shared" si="24"/>
        <v>70431.567724432869</v>
      </c>
      <c r="N59">
        <f t="shared" si="24"/>
        <v>70794.495246264938</v>
      </c>
      <c r="O59">
        <f t="shared" si="24"/>
        <v>42956.673063562819</v>
      </c>
      <c r="P59">
        <f t="shared" si="24"/>
        <v>37586.370466435335</v>
      </c>
      <c r="Q59">
        <f t="shared" si="24"/>
        <v>87667.263567393209</v>
      </c>
      <c r="R59">
        <f t="shared" si="24"/>
        <v>50080.815742604587</v>
      </c>
      <c r="S59">
        <f t="shared" si="24"/>
        <v>53222.260110665389</v>
      </c>
      <c r="T59">
        <f t="shared" si="24"/>
        <v>3680.9456047979661</v>
      </c>
      <c r="U59">
        <f t="shared" si="24"/>
        <v>15968.791720352507</v>
      </c>
      <c r="V59">
        <f t="shared" si="24"/>
        <v>5459.5058593330732</v>
      </c>
      <c r="W59">
        <f t="shared" si="24"/>
        <v>1209248.0527943701</v>
      </c>
    </row>
    <row r="60" spans="2:23" x14ac:dyDescent="0.25">
      <c r="B60">
        <v>5</v>
      </c>
      <c r="C60">
        <f t="shared" ref="C60:W60" si="25">C25*C$18</f>
        <v>88417.888888888891</v>
      </c>
      <c r="D60">
        <f t="shared" si="25"/>
        <v>49114.555555555555</v>
      </c>
      <c r="E60">
        <f t="shared" si="25"/>
        <v>418819.5555555555</v>
      </c>
      <c r="F60">
        <f t="shared" si="25"/>
        <v>39766.222222222219</v>
      </c>
      <c r="G60">
        <f t="shared" si="25"/>
        <v>10760.555555555555</v>
      </c>
      <c r="H60">
        <f t="shared" si="25"/>
        <v>68055.666666666657</v>
      </c>
      <c r="I60">
        <f t="shared" si="25"/>
        <v>156061.22222222222</v>
      </c>
      <c r="J60">
        <f t="shared" si="25"/>
        <v>69877.888888888891</v>
      </c>
      <c r="K60">
        <f t="shared" si="25"/>
        <v>29184.555555555555</v>
      </c>
      <c r="L60">
        <f t="shared" si="25"/>
        <v>48405.333333333328</v>
      </c>
      <c r="M60">
        <f t="shared" si="25"/>
        <v>77878.111111111109</v>
      </c>
      <c r="N60">
        <f t="shared" si="25"/>
        <v>79070.111111111109</v>
      </c>
      <c r="O60">
        <f t="shared" si="25"/>
        <v>48462.777777777774</v>
      </c>
      <c r="P60">
        <f t="shared" si="25"/>
        <v>42832.444444444445</v>
      </c>
      <c r="Q60">
        <f t="shared" si="25"/>
        <v>100912.44444444444</v>
      </c>
      <c r="R60">
        <f t="shared" si="25"/>
        <v>58229.555555555555</v>
      </c>
      <c r="S60">
        <f t="shared" si="25"/>
        <v>62507.222222222219</v>
      </c>
      <c r="T60">
        <f t="shared" si="25"/>
        <v>4366.7777777777774</v>
      </c>
      <c r="U60">
        <f t="shared" si="25"/>
        <v>19135.444444444442</v>
      </c>
      <c r="V60">
        <f t="shared" si="25"/>
        <v>6608.2222222222217</v>
      </c>
      <c r="W60">
        <f t="shared" si="25"/>
        <v>1478466.5555555555</v>
      </c>
    </row>
    <row r="61" spans="2:23" x14ac:dyDescent="0.25">
      <c r="B61">
        <v>6</v>
      </c>
      <c r="C61">
        <f t="shared" ref="C61:W61" si="26">C26*C$18</f>
        <v>88417.888888888891</v>
      </c>
      <c r="D61">
        <f t="shared" si="26"/>
        <v>51079.137777777774</v>
      </c>
      <c r="E61">
        <f t="shared" si="26"/>
        <v>451655.00871111109</v>
      </c>
      <c r="F61">
        <f t="shared" si="26"/>
        <v>44349.836060444446</v>
      </c>
      <c r="G61">
        <f t="shared" si="26"/>
        <v>12381.670266311112</v>
      </c>
      <c r="H61">
        <f t="shared" si="26"/>
        <v>80620.600816366932</v>
      </c>
      <c r="I61">
        <f t="shared" si="26"/>
        <v>189964.30708052151</v>
      </c>
      <c r="J61">
        <f t="shared" si="26"/>
        <v>87246.214396700016</v>
      </c>
      <c r="K61">
        <f t="shared" si="26"/>
        <v>37315.676866058595</v>
      </c>
      <c r="L61">
        <f t="shared" si="26"/>
        <v>63288.327754117439</v>
      </c>
      <c r="M61">
        <f t="shared" si="26"/>
        <v>103980.31232618324</v>
      </c>
      <c r="N61">
        <f t="shared" si="26"/>
        <v>107674.567440007</v>
      </c>
      <c r="O61">
        <f t="shared" si="26"/>
        <v>67231.938743806895</v>
      </c>
      <c r="P61">
        <f t="shared" si="26"/>
        <v>60470.78651314845</v>
      </c>
      <c r="Q61">
        <f t="shared" si="26"/>
        <v>144842.32462659306</v>
      </c>
      <c r="R61">
        <f t="shared" si="26"/>
        <v>84893.662139090331</v>
      </c>
      <c r="S61">
        <f t="shared" si="26"/>
        <v>92485.503187222872</v>
      </c>
      <c r="T61">
        <f t="shared" si="26"/>
        <v>6551.9709857084054</v>
      </c>
      <c r="U61">
        <f t="shared" si="26"/>
        <v>29093.465909495844</v>
      </c>
      <c r="V61">
        <f t="shared" si="26"/>
        <v>10173.892042529644</v>
      </c>
      <c r="W61">
        <f t="shared" si="26"/>
        <v>2303447.2951462511</v>
      </c>
    </row>
    <row r="62" spans="2:23" x14ac:dyDescent="0.25">
      <c r="B62">
        <v>7</v>
      </c>
      <c r="C62">
        <f t="shared" ref="C62:W62" si="27">C27*C$18</f>
        <v>88417.888888888891</v>
      </c>
      <c r="D62">
        <f t="shared" si="27"/>
        <v>50587.992222222223</v>
      </c>
      <c r="E62">
        <f t="shared" si="27"/>
        <v>443571.7912888889</v>
      </c>
      <c r="F62">
        <f t="shared" si="27"/>
        <v>43238.887110222226</v>
      </c>
      <c r="G62">
        <f t="shared" si="27"/>
        <v>11994.868646172223</v>
      </c>
      <c r="H62">
        <f t="shared" si="27"/>
        <v>77669.616724969368</v>
      </c>
      <c r="I62">
        <f t="shared" si="27"/>
        <v>182127.81527832983</v>
      </c>
      <c r="J62">
        <f t="shared" si="27"/>
        <v>83295.642326033631</v>
      </c>
      <c r="K62">
        <f t="shared" si="27"/>
        <v>35495.909496303924</v>
      </c>
      <c r="L62">
        <f t="shared" si="27"/>
        <v>60011.428862139561</v>
      </c>
      <c r="M62">
        <f t="shared" si="27"/>
        <v>98327.024131884915</v>
      </c>
      <c r="N62">
        <f t="shared" si="27"/>
        <v>101581.26080211405</v>
      </c>
      <c r="O62">
        <f t="shared" si="27"/>
        <v>63300.027401824984</v>
      </c>
      <c r="P62">
        <f t="shared" si="27"/>
        <v>56837.493439765814</v>
      </c>
      <c r="Q62">
        <f t="shared" si="27"/>
        <v>135945.58430832741</v>
      </c>
      <c r="R62">
        <f t="shared" si="27"/>
        <v>79585.175812648842</v>
      </c>
      <c r="S62">
        <f t="shared" si="27"/>
        <v>86619.154826640501</v>
      </c>
      <c r="T62">
        <f t="shared" si="27"/>
        <v>6131.7156278116781</v>
      </c>
      <c r="U62">
        <f t="shared" si="27"/>
        <v>27211.534612900006</v>
      </c>
      <c r="V62">
        <f t="shared" si="27"/>
        <v>9511.7909792410828</v>
      </c>
      <c r="W62">
        <f t="shared" si="27"/>
        <v>2152951.3619936067</v>
      </c>
    </row>
    <row r="63" spans="2:23" x14ac:dyDescent="0.25">
      <c r="B63">
        <v>8</v>
      </c>
      <c r="C63">
        <f t="shared" ref="C63:W63" si="28">C28*C$18</f>
        <v>88417.888888888891</v>
      </c>
      <c r="D63">
        <f t="shared" si="28"/>
        <v>50096.846666666665</v>
      </c>
      <c r="E63">
        <f t="shared" si="28"/>
        <v>435404.80995555554</v>
      </c>
      <c r="F63">
        <f t="shared" si="28"/>
        <v>42104.794218666662</v>
      </c>
      <c r="G63">
        <f t="shared" si="28"/>
        <v>11595.917282755554</v>
      </c>
      <c r="H63">
        <f t="shared" si="28"/>
        <v>74594.40089324479</v>
      </c>
      <c r="I63">
        <f t="shared" si="28"/>
        <v>173876.79979056533</v>
      </c>
      <c r="J63">
        <f t="shared" si="28"/>
        <v>79092.998223956063</v>
      </c>
      <c r="K63">
        <f t="shared" si="28"/>
        <v>33539.970413960626</v>
      </c>
      <c r="L63">
        <f t="shared" si="28"/>
        <v>56452.828324836053</v>
      </c>
      <c r="M63">
        <f t="shared" si="28"/>
        <v>92124.135381566419</v>
      </c>
      <c r="N63">
        <f t="shared" si="28"/>
        <v>94826.305348285779</v>
      </c>
      <c r="O63">
        <f t="shared" si="28"/>
        <v>58896.00335469011</v>
      </c>
      <c r="P63">
        <f t="shared" si="28"/>
        <v>52725.780124371558</v>
      </c>
      <c r="Q63">
        <f t="shared" si="28"/>
        <v>125773.03833879963</v>
      </c>
      <c r="R63">
        <f t="shared" si="28"/>
        <v>73452.56051700376</v>
      </c>
      <c r="S63">
        <f t="shared" si="28"/>
        <v>79771.859479431412</v>
      </c>
      <c r="T63">
        <f t="shared" si="28"/>
        <v>5636.1050297038273</v>
      </c>
      <c r="U63">
        <f t="shared" si="28"/>
        <v>24969.16538390363</v>
      </c>
      <c r="V63">
        <f t="shared" si="28"/>
        <v>8714.707878439629</v>
      </c>
      <c r="W63">
        <f t="shared" si="28"/>
        <v>1969897.0526489264</v>
      </c>
    </row>
    <row r="64" spans="2:23" x14ac:dyDescent="0.25">
      <c r="B64">
        <v>9</v>
      </c>
      <c r="C64">
        <f t="shared" ref="C64:W64" si="29">C29*C$18</f>
        <v>88417.888888888891</v>
      </c>
      <c r="D64">
        <f t="shared" si="29"/>
        <v>49605.701111111113</v>
      </c>
      <c r="E64">
        <f t="shared" si="29"/>
        <v>427154.06471111113</v>
      </c>
      <c r="F64">
        <f t="shared" si="29"/>
        <v>40947.318788444449</v>
      </c>
      <c r="G64">
        <f t="shared" si="29"/>
        <v>11184.564379061112</v>
      </c>
      <c r="H64">
        <f t="shared" si="29"/>
        <v>71391.071494022239</v>
      </c>
      <c r="I64">
        <f t="shared" si="29"/>
        <v>165193.90163096404</v>
      </c>
      <c r="J64">
        <f t="shared" si="29"/>
        <v>74625.018959549576</v>
      </c>
      <c r="K64">
        <f t="shared" si="29"/>
        <v>31439.217312985347</v>
      </c>
      <c r="L64">
        <f t="shared" si="29"/>
        <v>52591.559796471876</v>
      </c>
      <c r="M64">
        <f t="shared" si="29"/>
        <v>85324.654497789335</v>
      </c>
      <c r="N64">
        <f t="shared" si="29"/>
        <v>87345.726975957281</v>
      </c>
      <c r="O64">
        <f t="shared" si="29"/>
        <v>53968.882491992736</v>
      </c>
      <c r="P64">
        <f t="shared" si="29"/>
        <v>48078.518422453548</v>
      </c>
      <c r="Q64">
        <f t="shared" si="29"/>
        <v>114157.62532149565</v>
      </c>
      <c r="R64">
        <f t="shared" si="29"/>
        <v>66378.295368506515</v>
      </c>
      <c r="S64">
        <f t="shared" si="29"/>
        <v>71792.184333779063</v>
      </c>
      <c r="T64">
        <f t="shared" si="29"/>
        <v>5052.6099507575891</v>
      </c>
      <c r="U64">
        <f t="shared" si="29"/>
        <v>22302.097168536377</v>
      </c>
      <c r="V64">
        <f t="shared" si="29"/>
        <v>7756.9385851113702</v>
      </c>
      <c r="W64">
        <f t="shared" si="29"/>
        <v>1747685.0583167409</v>
      </c>
    </row>
    <row r="65" spans="2:23" x14ac:dyDescent="0.25">
      <c r="C65" t="s">
        <v>42</v>
      </c>
    </row>
    <row r="66" spans="2:23" x14ac:dyDescent="0.25">
      <c r="B66">
        <v>1</v>
      </c>
      <c r="C66">
        <f>C56/C36</f>
        <v>88417.888888888891</v>
      </c>
      <c r="D66">
        <f t="shared" ref="D66:W66" si="30">D56/D36</f>
        <v>47149.973333333328</v>
      </c>
      <c r="E66">
        <f t="shared" si="30"/>
        <v>385984.10239999997</v>
      </c>
      <c r="F66">
        <f t="shared" si="30"/>
        <v>35182.608383999999</v>
      </c>
      <c r="G66">
        <f t="shared" si="30"/>
        <v>9139.4408447999976</v>
      </c>
      <c r="H66">
        <f t="shared" si="30"/>
        <v>55490.732516966389</v>
      </c>
      <c r="I66">
        <f t="shared" si="30"/>
        <v>122158.13736392291</v>
      </c>
      <c r="J66">
        <f t="shared" si="30"/>
        <v>52509.563381077751</v>
      </c>
      <c r="K66">
        <f t="shared" si="30"/>
        <v>21053.434245052515</v>
      </c>
      <c r="L66">
        <f t="shared" si="30"/>
        <v>33522.338912549225</v>
      </c>
      <c r="M66">
        <f t="shared" si="30"/>
        <v>51775.909896038982</v>
      </c>
      <c r="N66">
        <f t="shared" si="30"/>
        <v>50465.654782215213</v>
      </c>
      <c r="O66">
        <f t="shared" si="30"/>
        <v>29693.616811748649</v>
      </c>
      <c r="P66">
        <f t="shared" si="30"/>
        <v>25194.102375740429</v>
      </c>
      <c r="Q66">
        <f t="shared" si="30"/>
        <v>56982.564262295797</v>
      </c>
      <c r="R66">
        <f t="shared" si="30"/>
        <v>31565.448972020778</v>
      </c>
      <c r="S66">
        <f t="shared" si="30"/>
        <v>32528.941257221559</v>
      </c>
      <c r="T66">
        <f t="shared" si="30"/>
        <v>2181.5845698471499</v>
      </c>
      <c r="U66">
        <f t="shared" si="30"/>
        <v>9177.4229793930444</v>
      </c>
      <c r="V66">
        <f t="shared" si="30"/>
        <v>3042.5524019148002</v>
      </c>
      <c r="W66">
        <f t="shared" si="30"/>
        <v>653485.81596485956</v>
      </c>
    </row>
    <row r="67" spans="2:23" x14ac:dyDescent="0.25">
      <c r="B67">
        <v>2</v>
      </c>
      <c r="C67">
        <f t="shared" ref="C67:W67" si="31">C57/C37</f>
        <v>88417.888888888891</v>
      </c>
      <c r="D67">
        <f t="shared" si="31"/>
        <v>47641.118888888886</v>
      </c>
      <c r="E67">
        <f t="shared" si="31"/>
        <v>394067.31982222217</v>
      </c>
      <c r="F67">
        <f t="shared" si="31"/>
        <v>36293.557334222212</v>
      </c>
      <c r="G67">
        <f t="shared" si="31"/>
        <v>9526.2424649388868</v>
      </c>
      <c r="H67">
        <f t="shared" si="31"/>
        <v>58441.716608363953</v>
      </c>
      <c r="I67">
        <f t="shared" si="31"/>
        <v>129994.62916611462</v>
      </c>
      <c r="J67">
        <f t="shared" si="31"/>
        <v>56460.135451744143</v>
      </c>
      <c r="K67">
        <f t="shared" si="31"/>
        <v>22873.201614807182</v>
      </c>
      <c r="L67">
        <f t="shared" si="31"/>
        <v>36799.237804527096</v>
      </c>
      <c r="M67">
        <f t="shared" si="31"/>
        <v>57429.198090337297</v>
      </c>
      <c r="N67">
        <f t="shared" si="31"/>
        <v>56558.961420108164</v>
      </c>
      <c r="O67">
        <f t="shared" si="31"/>
        <v>33625.528153730564</v>
      </c>
      <c r="P67">
        <f t="shared" si="31"/>
        <v>28827.395449123072</v>
      </c>
      <c r="Q67">
        <f t="shared" si="31"/>
        <v>65879.304580561453</v>
      </c>
      <c r="R67">
        <f t="shared" si="31"/>
        <v>36873.935298462275</v>
      </c>
      <c r="S67">
        <f t="shared" si="31"/>
        <v>38395.289617803952</v>
      </c>
      <c r="T67">
        <f t="shared" si="31"/>
        <v>2601.8399277438762</v>
      </c>
      <c r="U67">
        <f t="shared" si="31"/>
        <v>11059.354275988881</v>
      </c>
      <c r="V67">
        <f t="shared" si="31"/>
        <v>3704.653465203362</v>
      </c>
      <c r="W67">
        <f t="shared" si="31"/>
        <v>803981.74911750411</v>
      </c>
    </row>
    <row r="68" spans="2:23" x14ac:dyDescent="0.25">
      <c r="B68">
        <v>3</v>
      </c>
      <c r="C68">
        <f t="shared" ref="C68:W68" si="32">C58/C38</f>
        <v>88417.888888888891</v>
      </c>
      <c r="D68">
        <f t="shared" si="32"/>
        <v>48132.264444444445</v>
      </c>
      <c r="E68">
        <f t="shared" si="32"/>
        <v>402234.30115555553</v>
      </c>
      <c r="F68">
        <f t="shared" si="32"/>
        <v>37427.650225777776</v>
      </c>
      <c r="G68">
        <f t="shared" si="32"/>
        <v>9925.1938283555555</v>
      </c>
      <c r="H68">
        <f t="shared" si="32"/>
        <v>61516.932440088531</v>
      </c>
      <c r="I68">
        <f t="shared" si="32"/>
        <v>138245.64465387911</v>
      </c>
      <c r="J68">
        <f t="shared" si="32"/>
        <v>60662.779553821703</v>
      </c>
      <c r="K68">
        <f t="shared" si="32"/>
        <v>24829.140697150484</v>
      </c>
      <c r="L68">
        <f t="shared" si="32"/>
        <v>40357.838341830611</v>
      </c>
      <c r="M68">
        <f t="shared" si="32"/>
        <v>63632.086840655793</v>
      </c>
      <c r="N68">
        <f t="shared" si="32"/>
        <v>63313.916873936432</v>
      </c>
      <c r="O68">
        <f t="shared" si="32"/>
        <v>38029.552200865444</v>
      </c>
      <c r="P68">
        <f t="shared" si="32"/>
        <v>32939.108764517325</v>
      </c>
      <c r="Q68">
        <f t="shared" si="32"/>
        <v>76051.850550089264</v>
      </c>
      <c r="R68">
        <f t="shared" si="32"/>
        <v>43006.550594107342</v>
      </c>
      <c r="S68">
        <f t="shared" si="32"/>
        <v>45242.584965013026</v>
      </c>
      <c r="T68">
        <f t="shared" si="32"/>
        <v>3097.4505258517279</v>
      </c>
      <c r="U68">
        <f t="shared" si="32"/>
        <v>13301.723504985255</v>
      </c>
      <c r="V68">
        <f t="shared" si="32"/>
        <v>4501.7365660048154</v>
      </c>
      <c r="W68">
        <f t="shared" si="32"/>
        <v>987036.05846218462</v>
      </c>
    </row>
    <row r="69" spans="2:23" x14ac:dyDescent="0.25">
      <c r="B69">
        <v>4</v>
      </c>
      <c r="C69">
        <f t="shared" ref="C69:W69" si="33">C59/C39</f>
        <v>88417.888888888891</v>
      </c>
      <c r="D69">
        <f t="shared" si="33"/>
        <v>48623.409999999996</v>
      </c>
      <c r="E69">
        <f t="shared" si="33"/>
        <v>410485.04639999993</v>
      </c>
      <c r="F69">
        <f t="shared" si="33"/>
        <v>38585.125655999989</v>
      </c>
      <c r="G69">
        <f t="shared" si="33"/>
        <v>10336.546732049997</v>
      </c>
      <c r="H69">
        <f t="shared" si="33"/>
        <v>64720.261839311082</v>
      </c>
      <c r="I69">
        <f t="shared" si="33"/>
        <v>146928.5428134804</v>
      </c>
      <c r="J69">
        <f t="shared" si="33"/>
        <v>65130.758818228198</v>
      </c>
      <c r="K69">
        <f t="shared" si="33"/>
        <v>26929.893798125759</v>
      </c>
      <c r="L69">
        <f t="shared" si="33"/>
        <v>44219.106870194788</v>
      </c>
      <c r="M69">
        <f t="shared" si="33"/>
        <v>70431.567724432869</v>
      </c>
      <c r="N69">
        <f t="shared" si="33"/>
        <v>70794.495246264938</v>
      </c>
      <c r="O69">
        <f t="shared" si="33"/>
        <v>42956.673063562819</v>
      </c>
      <c r="P69">
        <f t="shared" si="33"/>
        <v>37586.370466435335</v>
      </c>
      <c r="Q69">
        <f t="shared" si="33"/>
        <v>87667.263567393209</v>
      </c>
      <c r="R69">
        <f t="shared" si="33"/>
        <v>50080.815742604587</v>
      </c>
      <c r="S69">
        <f t="shared" si="33"/>
        <v>53222.260110665389</v>
      </c>
      <c r="T69">
        <f t="shared" si="33"/>
        <v>3680.9456047979661</v>
      </c>
      <c r="U69">
        <f t="shared" si="33"/>
        <v>15968.791720352507</v>
      </c>
      <c r="V69">
        <f t="shared" si="33"/>
        <v>5459.5058593330732</v>
      </c>
      <c r="W69">
        <f t="shared" si="33"/>
        <v>1209248.0527943701</v>
      </c>
    </row>
    <row r="70" spans="2:23" x14ac:dyDescent="0.25">
      <c r="B70">
        <v>5</v>
      </c>
      <c r="C70">
        <f t="shared" ref="C70:W70" si="34">C60/C40</f>
        <v>88417.888888888891</v>
      </c>
      <c r="D70">
        <f t="shared" si="34"/>
        <v>49114.555555555555</v>
      </c>
      <c r="E70">
        <f t="shared" si="34"/>
        <v>418819.5555555555</v>
      </c>
      <c r="F70">
        <f t="shared" si="34"/>
        <v>39766.222222222219</v>
      </c>
      <c r="G70">
        <f t="shared" si="34"/>
        <v>10760.555555555555</v>
      </c>
      <c r="H70">
        <f t="shared" si="34"/>
        <v>68055.666666666657</v>
      </c>
      <c r="I70">
        <f t="shared" si="34"/>
        <v>156061.22222222222</v>
      </c>
      <c r="J70">
        <f t="shared" si="34"/>
        <v>69877.888888888891</v>
      </c>
      <c r="K70">
        <f t="shared" si="34"/>
        <v>29184.555555555555</v>
      </c>
      <c r="L70">
        <f t="shared" si="34"/>
        <v>48405.333333333328</v>
      </c>
      <c r="M70">
        <f t="shared" si="34"/>
        <v>77878.111111111109</v>
      </c>
      <c r="N70">
        <f t="shared" si="34"/>
        <v>79070.111111111109</v>
      </c>
      <c r="O70">
        <f t="shared" si="34"/>
        <v>48462.777777777774</v>
      </c>
      <c r="P70">
        <f t="shared" si="34"/>
        <v>42832.444444444445</v>
      </c>
      <c r="Q70">
        <f t="shared" si="34"/>
        <v>100912.44444444444</v>
      </c>
      <c r="R70">
        <f t="shared" si="34"/>
        <v>58229.555555555555</v>
      </c>
      <c r="S70">
        <f t="shared" si="34"/>
        <v>62507.222222222219</v>
      </c>
      <c r="T70">
        <f t="shared" si="34"/>
        <v>4366.7777777777774</v>
      </c>
      <c r="U70">
        <f t="shared" si="34"/>
        <v>19135.444444444442</v>
      </c>
      <c r="V70">
        <f t="shared" si="34"/>
        <v>6608.2222222222217</v>
      </c>
      <c r="W70">
        <f t="shared" si="34"/>
        <v>1478466.5555555555</v>
      </c>
    </row>
    <row r="71" spans="2:23" x14ac:dyDescent="0.25">
      <c r="B71">
        <v>6</v>
      </c>
      <c r="C71">
        <f t="shared" ref="C71:W71" si="35">C61/C41</f>
        <v>88417.888888888891</v>
      </c>
      <c r="D71">
        <f t="shared" si="35"/>
        <v>51079.137777777774</v>
      </c>
      <c r="E71">
        <f t="shared" si="35"/>
        <v>451655.00871111109</v>
      </c>
      <c r="F71">
        <f t="shared" si="35"/>
        <v>44349.836060444446</v>
      </c>
      <c r="G71">
        <f t="shared" si="35"/>
        <v>12381.670266311112</v>
      </c>
      <c r="H71">
        <f t="shared" si="35"/>
        <v>80620.600816366932</v>
      </c>
      <c r="I71">
        <f t="shared" si="35"/>
        <v>189964.30708052151</v>
      </c>
      <c r="J71">
        <f t="shared" si="35"/>
        <v>87246.214396700016</v>
      </c>
      <c r="K71">
        <f t="shared" si="35"/>
        <v>37315.676866058595</v>
      </c>
      <c r="L71">
        <f t="shared" si="35"/>
        <v>63288.327754117439</v>
      </c>
      <c r="M71">
        <f t="shared" si="35"/>
        <v>103980.31232618324</v>
      </c>
      <c r="N71">
        <f t="shared" si="35"/>
        <v>107674.567440007</v>
      </c>
      <c r="O71">
        <f t="shared" si="35"/>
        <v>67231.938743806895</v>
      </c>
      <c r="P71">
        <f t="shared" si="35"/>
        <v>60470.78651314845</v>
      </c>
      <c r="Q71">
        <f t="shared" si="35"/>
        <v>144842.32462659306</v>
      </c>
      <c r="R71">
        <f t="shared" si="35"/>
        <v>84893.662139090331</v>
      </c>
      <c r="S71">
        <f t="shared" si="35"/>
        <v>92485.503187222872</v>
      </c>
      <c r="T71">
        <f t="shared" si="35"/>
        <v>6551.9709857084054</v>
      </c>
      <c r="U71">
        <f t="shared" si="35"/>
        <v>29093.465909495844</v>
      </c>
      <c r="V71">
        <f t="shared" si="35"/>
        <v>10173.892042529644</v>
      </c>
      <c r="W71">
        <f t="shared" si="35"/>
        <v>2303447.2951462511</v>
      </c>
    </row>
    <row r="72" spans="2:23" x14ac:dyDescent="0.25">
      <c r="B72">
        <v>7</v>
      </c>
      <c r="C72">
        <f t="shared" ref="C72:W72" si="36">C62/C42</f>
        <v>88417.888888888891</v>
      </c>
      <c r="D72">
        <f t="shared" si="36"/>
        <v>50587.992222222223</v>
      </c>
      <c r="E72">
        <f t="shared" si="36"/>
        <v>443571.7912888889</v>
      </c>
      <c r="F72">
        <f t="shared" si="36"/>
        <v>43238.887110222226</v>
      </c>
      <c r="G72">
        <f t="shared" si="36"/>
        <v>11994.868646172223</v>
      </c>
      <c r="H72">
        <f t="shared" si="36"/>
        <v>77669.616724969368</v>
      </c>
      <c r="I72">
        <f t="shared" si="36"/>
        <v>182127.81527832983</v>
      </c>
      <c r="J72">
        <f t="shared" si="36"/>
        <v>83295.642326033631</v>
      </c>
      <c r="K72">
        <f t="shared" si="36"/>
        <v>35495.909496303924</v>
      </c>
      <c r="L72">
        <f t="shared" si="36"/>
        <v>60011.428862139561</v>
      </c>
      <c r="M72">
        <f t="shared" si="36"/>
        <v>98327.024131884915</v>
      </c>
      <c r="N72">
        <f t="shared" si="36"/>
        <v>101581.26080211405</v>
      </c>
      <c r="O72">
        <f t="shared" si="36"/>
        <v>63300.027401824984</v>
      </c>
      <c r="P72">
        <f t="shared" si="36"/>
        <v>56837.493439765814</v>
      </c>
      <c r="Q72">
        <f t="shared" si="36"/>
        <v>135945.58430832741</v>
      </c>
      <c r="R72">
        <f t="shared" si="36"/>
        <v>79585.175812648842</v>
      </c>
      <c r="S72">
        <f t="shared" si="36"/>
        <v>86619.154826640501</v>
      </c>
      <c r="T72">
        <f t="shared" si="36"/>
        <v>6131.7156278116781</v>
      </c>
      <c r="U72">
        <f t="shared" si="36"/>
        <v>27211.534612900006</v>
      </c>
      <c r="V72">
        <f t="shared" si="36"/>
        <v>9511.7909792410828</v>
      </c>
      <c r="W72">
        <f t="shared" si="36"/>
        <v>2152951.3619936067</v>
      </c>
    </row>
    <row r="73" spans="2:23" x14ac:dyDescent="0.25">
      <c r="B73">
        <v>8</v>
      </c>
      <c r="C73">
        <f t="shared" ref="C73:W73" si="37">C63/C43</f>
        <v>88417.888888888891</v>
      </c>
      <c r="D73">
        <f t="shared" si="37"/>
        <v>50096.846666666665</v>
      </c>
      <c r="E73">
        <f t="shared" si="37"/>
        <v>435404.80995555554</v>
      </c>
      <c r="F73">
        <f t="shared" si="37"/>
        <v>42104.794218666662</v>
      </c>
      <c r="G73">
        <f t="shared" si="37"/>
        <v>11595.917282755554</v>
      </c>
      <c r="H73">
        <f t="shared" si="37"/>
        <v>74594.40089324479</v>
      </c>
      <c r="I73">
        <f t="shared" si="37"/>
        <v>173876.79979056533</v>
      </c>
      <c r="J73">
        <f t="shared" si="37"/>
        <v>79092.998223956063</v>
      </c>
      <c r="K73">
        <f t="shared" si="37"/>
        <v>33539.970413960626</v>
      </c>
      <c r="L73">
        <f t="shared" si="37"/>
        <v>56452.828324836053</v>
      </c>
      <c r="M73">
        <f t="shared" si="37"/>
        <v>92124.135381566419</v>
      </c>
      <c r="N73">
        <f t="shared" si="37"/>
        <v>94826.305348285779</v>
      </c>
      <c r="O73">
        <f t="shared" si="37"/>
        <v>58896.00335469011</v>
      </c>
      <c r="P73">
        <f t="shared" si="37"/>
        <v>52725.780124371558</v>
      </c>
      <c r="Q73">
        <f t="shared" si="37"/>
        <v>125773.03833879963</v>
      </c>
      <c r="R73">
        <f t="shared" si="37"/>
        <v>73452.56051700376</v>
      </c>
      <c r="S73">
        <f t="shared" si="37"/>
        <v>79771.859479431412</v>
      </c>
      <c r="T73">
        <f t="shared" si="37"/>
        <v>5636.1050297038273</v>
      </c>
      <c r="U73">
        <f t="shared" si="37"/>
        <v>24969.16538390363</v>
      </c>
      <c r="V73">
        <f t="shared" si="37"/>
        <v>8714.707878439629</v>
      </c>
      <c r="W73">
        <f t="shared" si="37"/>
        <v>1969897.0526489264</v>
      </c>
    </row>
    <row r="74" spans="2:23" x14ac:dyDescent="0.25">
      <c r="B74">
        <v>9</v>
      </c>
      <c r="C74">
        <f t="shared" ref="C74:W74" si="38">C64/C44</f>
        <v>88417.888888888891</v>
      </c>
      <c r="D74">
        <f t="shared" si="38"/>
        <v>49605.701111111113</v>
      </c>
      <c r="E74">
        <f t="shared" si="38"/>
        <v>427154.06471111113</v>
      </c>
      <c r="F74">
        <f t="shared" si="38"/>
        <v>40947.318788444449</v>
      </c>
      <c r="G74">
        <f t="shared" si="38"/>
        <v>11184.564379061112</v>
      </c>
      <c r="H74">
        <f t="shared" si="38"/>
        <v>71391.071494022239</v>
      </c>
      <c r="I74">
        <f t="shared" si="38"/>
        <v>165193.90163096404</v>
      </c>
      <c r="J74">
        <f t="shared" si="38"/>
        <v>74625.018959549576</v>
      </c>
      <c r="K74">
        <f t="shared" si="38"/>
        <v>31439.217312985347</v>
      </c>
      <c r="L74">
        <f t="shared" si="38"/>
        <v>52591.559796471876</v>
      </c>
      <c r="M74">
        <f t="shared" si="38"/>
        <v>85324.654497789335</v>
      </c>
      <c r="N74">
        <f t="shared" si="38"/>
        <v>87345.726975957281</v>
      </c>
      <c r="O74">
        <f t="shared" si="38"/>
        <v>53968.882491992736</v>
      </c>
      <c r="P74">
        <f t="shared" si="38"/>
        <v>48078.518422453548</v>
      </c>
      <c r="Q74">
        <f t="shared" si="38"/>
        <v>114157.62532149565</v>
      </c>
      <c r="R74">
        <f t="shared" si="38"/>
        <v>66378.295368506515</v>
      </c>
      <c r="S74">
        <f t="shared" si="38"/>
        <v>71792.184333779063</v>
      </c>
      <c r="T74">
        <f t="shared" si="38"/>
        <v>5052.6099507575891</v>
      </c>
      <c r="U74">
        <f t="shared" si="38"/>
        <v>22302.097168536377</v>
      </c>
      <c r="V74">
        <f t="shared" si="38"/>
        <v>7756.9385851113702</v>
      </c>
      <c r="W74">
        <f t="shared" si="38"/>
        <v>1747685.0583167409</v>
      </c>
    </row>
    <row r="75" spans="2:23" x14ac:dyDescent="0.25">
      <c r="C75" t="s">
        <v>43</v>
      </c>
    </row>
    <row r="76" spans="2:23" x14ac:dyDescent="0.25">
      <c r="B76">
        <v>1</v>
      </c>
      <c r="C76">
        <f>C66/SUM(C$66:C$74)*(C$18-C$6)</f>
        <v>40126.666666666672</v>
      </c>
      <c r="D76">
        <f t="shared" ref="D76:W76" si="39">D66/SUM(D$66:D$74)*(D$18-D$6)</f>
        <v>26497.706666666665</v>
      </c>
      <c r="E76">
        <f t="shared" si="39"/>
        <v>302662.34879999998</v>
      </c>
      <c r="F76">
        <f t="shared" si="39"/>
        <v>20358.856704000002</v>
      </c>
      <c r="G76">
        <f t="shared" si="39"/>
        <v>3635.9582515199995</v>
      </c>
      <c r="H76">
        <f t="shared" si="39"/>
        <v>31217.902682111991</v>
      </c>
      <c r="I76">
        <f t="shared" si="39"/>
        <v>50375.247286763508</v>
      </c>
      <c r="J76">
        <f t="shared" si="39"/>
        <v>29695.701439878256</v>
      </c>
      <c r="K76">
        <f t="shared" si="39"/>
        <v>11638.097923348518</v>
      </c>
      <c r="L76">
        <f t="shared" si="39"/>
        <v>15241.442076548672</v>
      </c>
      <c r="M76">
        <f t="shared" si="39"/>
        <v>18198.168263823798</v>
      </c>
      <c r="N76">
        <f t="shared" si="39"/>
        <v>3944.1772318480307</v>
      </c>
      <c r="O76">
        <f t="shared" si="39"/>
        <v>12112.31879834254</v>
      </c>
      <c r="P76">
        <f t="shared" si="39"/>
        <v>7836.5414573208582</v>
      </c>
      <c r="Q76">
        <f t="shared" si="39"/>
        <v>15014.286926647559</v>
      </c>
      <c r="R76">
        <f t="shared" si="39"/>
        <v>6153.2827296211608</v>
      </c>
      <c r="S76">
        <f t="shared" si="39"/>
        <v>13372.504842418413</v>
      </c>
      <c r="T76">
        <f t="shared" si="39"/>
        <v>987.4610802018002</v>
      </c>
      <c r="U76">
        <f t="shared" si="39"/>
        <v>4655.2964194240876</v>
      </c>
      <c r="V76">
        <f t="shared" si="39"/>
        <v>0</v>
      </c>
      <c r="W76">
        <f t="shared" si="39"/>
        <v>329599.34871137544</v>
      </c>
    </row>
    <row r="77" spans="2:23" x14ac:dyDescent="0.25">
      <c r="B77">
        <v>2</v>
      </c>
      <c r="C77">
        <f>C67/SUM(C$66:C$74)*(C$18-C$6)</f>
        <v>40126.666666666672</v>
      </c>
      <c r="D77">
        <f t="shared" ref="D77:W77" si="40">D67/SUM(D$66:D$74)*(D$18-D$6)</f>
        <v>26773.724444444444</v>
      </c>
      <c r="E77">
        <f t="shared" si="40"/>
        <v>309000.65536666662</v>
      </c>
      <c r="F77">
        <f t="shared" si="40"/>
        <v>21001.721219222218</v>
      </c>
      <c r="G77">
        <f t="shared" si="40"/>
        <v>3789.8401537422219</v>
      </c>
      <c r="H77">
        <f t="shared" si="40"/>
        <v>32878.063397300662</v>
      </c>
      <c r="I77">
        <f t="shared" si="40"/>
        <v>53606.838901655698</v>
      </c>
      <c r="J77">
        <f t="shared" si="40"/>
        <v>31929.866060060685</v>
      </c>
      <c r="K77">
        <f t="shared" si="40"/>
        <v>12644.044535212854</v>
      </c>
      <c r="L77">
        <f t="shared" si="40"/>
        <v>16731.33407910492</v>
      </c>
      <c r="M77">
        <f t="shared" si="40"/>
        <v>20185.182881438464</v>
      </c>
      <c r="N77">
        <f t="shared" si="40"/>
        <v>4420.4037152169822</v>
      </c>
      <c r="O77">
        <f t="shared" si="40"/>
        <v>13716.184166540479</v>
      </c>
      <c r="P77">
        <f t="shared" si="40"/>
        <v>8966.6651414881526</v>
      </c>
      <c r="Q77">
        <f t="shared" si="40"/>
        <v>17358.481393492573</v>
      </c>
      <c r="R77">
        <f t="shared" si="40"/>
        <v>7188.1046091349299</v>
      </c>
      <c r="S77">
        <f t="shared" si="40"/>
        <v>15784.134881000922</v>
      </c>
      <c r="T77">
        <f t="shared" si="40"/>
        <v>1177.6832771338086</v>
      </c>
      <c r="U77">
        <f t="shared" si="40"/>
        <v>5609.916038277499</v>
      </c>
      <c r="V77">
        <f t="shared" si="40"/>
        <v>0</v>
      </c>
      <c r="W77">
        <f t="shared" si="40"/>
        <v>405505.14549991617</v>
      </c>
    </row>
    <row r="78" spans="2:23" x14ac:dyDescent="0.25">
      <c r="B78">
        <v>3</v>
      </c>
      <c r="C78">
        <f t="shared" ref="C78:W78" si="41">C68/SUM(C$66:C$74)*(C$18-C$6)</f>
        <v>40126.666666666672</v>
      </c>
      <c r="D78">
        <f t="shared" si="41"/>
        <v>27049.742222222223</v>
      </c>
      <c r="E78">
        <f t="shared" si="41"/>
        <v>315404.64386666665</v>
      </c>
      <c r="F78">
        <f t="shared" si="41"/>
        <v>21657.978265777776</v>
      </c>
      <c r="G78">
        <f t="shared" si="41"/>
        <v>3948.5556076088892</v>
      </c>
      <c r="H78">
        <f t="shared" si="41"/>
        <v>34608.114240149334</v>
      </c>
      <c r="I78">
        <f t="shared" si="41"/>
        <v>57009.370689814787</v>
      </c>
      <c r="J78">
        <f t="shared" si="41"/>
        <v>34306.584822843877</v>
      </c>
      <c r="K78">
        <f t="shared" si="41"/>
        <v>13725.265314087213</v>
      </c>
      <c r="L78">
        <f t="shared" si="41"/>
        <v>18349.306026240811</v>
      </c>
      <c r="M78">
        <f t="shared" si="41"/>
        <v>22365.370799463089</v>
      </c>
      <c r="N78">
        <f t="shared" si="41"/>
        <v>4948.3418073335706</v>
      </c>
      <c r="O78">
        <f t="shared" si="41"/>
        <v>15512.628957777852</v>
      </c>
      <c r="P78">
        <f t="shared" si="41"/>
        <v>10245.599845180222</v>
      </c>
      <c r="Q78">
        <f t="shared" si="41"/>
        <v>20038.836795856652</v>
      </c>
      <c r="R78">
        <f t="shared" si="41"/>
        <v>8383.5799473616044</v>
      </c>
      <c r="S78">
        <f t="shared" si="41"/>
        <v>18599.027916220584</v>
      </c>
      <c r="T78">
        <f t="shared" si="41"/>
        <v>1402.0138776208339</v>
      </c>
      <c r="U78">
        <f t="shared" si="41"/>
        <v>6747.3697075932796</v>
      </c>
      <c r="V78">
        <f t="shared" si="41"/>
        <v>0</v>
      </c>
      <c r="W78">
        <f t="shared" si="41"/>
        <v>497832.44574855961</v>
      </c>
    </row>
    <row r="79" spans="2:23" x14ac:dyDescent="0.25">
      <c r="B79">
        <v>4</v>
      </c>
      <c r="C79">
        <f t="shared" ref="C79:W79" si="42">C69/SUM(C$66:C$74)*(C$18-C$6)</f>
        <v>40126.666666666672</v>
      </c>
      <c r="D79">
        <f t="shared" si="42"/>
        <v>27325.759999999998</v>
      </c>
      <c r="E79">
        <f t="shared" si="42"/>
        <v>321874.31429999997</v>
      </c>
      <c r="F79">
        <f t="shared" si="42"/>
        <v>22327.765910999995</v>
      </c>
      <c r="G79">
        <f t="shared" si="42"/>
        <v>4112.2047859199993</v>
      </c>
      <c r="H79">
        <f t="shared" si="42"/>
        <v>36410.239043837988</v>
      </c>
      <c r="I79">
        <f t="shared" si="42"/>
        <v>60590.001103756229</v>
      </c>
      <c r="J79">
        <f t="shared" si="42"/>
        <v>36833.358418588417</v>
      </c>
      <c r="K79">
        <f t="shared" si="42"/>
        <v>14886.53762801736</v>
      </c>
      <c r="L79">
        <f t="shared" si="42"/>
        <v>20104.890586452741</v>
      </c>
      <c r="M79">
        <f t="shared" si="42"/>
        <v>24755.2485916271</v>
      </c>
      <c r="N79">
        <f t="shared" si="42"/>
        <v>5532.9914472623641</v>
      </c>
      <c r="O79">
        <f t="shared" si="42"/>
        <v>17522.450092916311</v>
      </c>
      <c r="P79">
        <f t="shared" si="42"/>
        <v>11691.115087079355</v>
      </c>
      <c r="Q79">
        <f t="shared" si="42"/>
        <v>23099.371997651942</v>
      </c>
      <c r="R79">
        <f t="shared" si="42"/>
        <v>9762.6179455726669</v>
      </c>
      <c r="S79">
        <f t="shared" si="42"/>
        <v>21879.437311729955</v>
      </c>
      <c r="T79">
        <f t="shared" si="42"/>
        <v>1666.1240519007408</v>
      </c>
      <c r="U79">
        <f t="shared" si="42"/>
        <v>8100.2541873909076</v>
      </c>
      <c r="V79">
        <f t="shared" si="42"/>
        <v>0</v>
      </c>
      <c r="W79">
        <f t="shared" si="42"/>
        <v>609909.74998140708</v>
      </c>
    </row>
    <row r="80" spans="2:23" x14ac:dyDescent="0.25">
      <c r="B80">
        <v>5</v>
      </c>
      <c r="C80">
        <f t="shared" ref="C80:W80" si="43">C70/SUM(C$66:C$74)*(C$18-C$6)</f>
        <v>40126.666666666672</v>
      </c>
      <c r="D80">
        <f t="shared" si="43"/>
        <v>27601.777777777777</v>
      </c>
      <c r="E80">
        <f t="shared" si="43"/>
        <v>328409.66666666663</v>
      </c>
      <c r="F80">
        <f t="shared" si="43"/>
        <v>23011.222222222223</v>
      </c>
      <c r="G80">
        <f t="shared" si="43"/>
        <v>4280.8888888888896</v>
      </c>
      <c r="H80">
        <f t="shared" si="43"/>
        <v>38286.666666666657</v>
      </c>
      <c r="I80">
        <f t="shared" si="43"/>
        <v>64356.111111111109</v>
      </c>
      <c r="J80">
        <f t="shared" si="43"/>
        <v>39518</v>
      </c>
      <c r="K80">
        <f t="shared" si="43"/>
        <v>16132.888888888889</v>
      </c>
      <c r="L80">
        <f t="shared" si="43"/>
        <v>22008.222222222223</v>
      </c>
      <c r="M80">
        <f t="shared" si="43"/>
        <v>27372.555555555555</v>
      </c>
      <c r="N80">
        <f t="shared" si="43"/>
        <v>6179.7777777777774</v>
      </c>
      <c r="O80">
        <f t="shared" si="43"/>
        <v>19768.444444444445</v>
      </c>
      <c r="P80">
        <f t="shared" si="43"/>
        <v>13322.888888888891</v>
      </c>
      <c r="Q80">
        <f t="shared" si="43"/>
        <v>26589.333333333332</v>
      </c>
      <c r="R80">
        <f t="shared" si="43"/>
        <v>11351.111111111111</v>
      </c>
      <c r="S80">
        <f t="shared" si="43"/>
        <v>25696.444444444442</v>
      </c>
      <c r="T80">
        <f t="shared" si="43"/>
        <v>1976.5555555555554</v>
      </c>
      <c r="U80">
        <f t="shared" si="43"/>
        <v>9706.5555555555529</v>
      </c>
      <c r="V80">
        <f t="shared" si="43"/>
        <v>0</v>
      </c>
      <c r="W80">
        <f t="shared" si="43"/>
        <v>745695.77777777775</v>
      </c>
    </row>
    <row r="81" spans="2:23" x14ac:dyDescent="0.25">
      <c r="B81">
        <v>6</v>
      </c>
      <c r="C81">
        <f t="shared" ref="C81:W81" si="44">C71/SUM(C$66:C$74)*(C$18-C$6)</f>
        <v>40126.666666666672</v>
      </c>
      <c r="D81">
        <f t="shared" si="44"/>
        <v>28705.848888888886</v>
      </c>
      <c r="E81">
        <f t="shared" si="44"/>
        <v>354156.98453333334</v>
      </c>
      <c r="F81">
        <f t="shared" si="44"/>
        <v>25663.587740444444</v>
      </c>
      <c r="G81">
        <f t="shared" si="44"/>
        <v>4925.8195262577792</v>
      </c>
      <c r="H81">
        <f t="shared" si="44"/>
        <v>45355.430651221337</v>
      </c>
      <c r="I81">
        <f t="shared" si="44"/>
        <v>78336.974935458711</v>
      </c>
      <c r="J81">
        <f t="shared" si="44"/>
        <v>49340.298560121737</v>
      </c>
      <c r="K81">
        <f t="shared" si="44"/>
        <v>20627.679854429258</v>
      </c>
      <c r="L81">
        <f t="shared" si="44"/>
        <v>28775.002367895773</v>
      </c>
      <c r="M81">
        <f t="shared" si="44"/>
        <v>36546.942847287311</v>
      </c>
      <c r="N81">
        <f t="shared" si="44"/>
        <v>8415.378323707524</v>
      </c>
      <c r="O81">
        <f t="shared" si="44"/>
        <v>27424.570090546349</v>
      </c>
      <c r="P81">
        <f t="shared" si="44"/>
        <v>18809.236320456916</v>
      </c>
      <c r="Q81">
        <f t="shared" si="44"/>
        <v>38164.379740019103</v>
      </c>
      <c r="R81">
        <f t="shared" si="44"/>
        <v>16548.939492601065</v>
      </c>
      <c r="S81">
        <f t="shared" si="44"/>
        <v>38020.38404647047</v>
      </c>
      <c r="T81">
        <f t="shared" si="44"/>
        <v>2965.6500309093108</v>
      </c>
      <c r="U81">
        <f t="shared" si="44"/>
        <v>14757.814691687023</v>
      </c>
      <c r="V81">
        <f t="shared" si="44"/>
        <v>0</v>
      </c>
      <c r="W81">
        <f t="shared" si="44"/>
        <v>1161792.2068441799</v>
      </c>
    </row>
    <row r="82" spans="2:23" x14ac:dyDescent="0.25">
      <c r="B82">
        <v>7</v>
      </c>
      <c r="C82">
        <f t="shared" ref="C82:W82" si="45">C72/SUM(C$66:C$74)*(C$18-C$6)</f>
        <v>40126.666666666672</v>
      </c>
      <c r="D82">
        <f t="shared" si="45"/>
        <v>28429.831111111111</v>
      </c>
      <c r="E82">
        <f t="shared" si="45"/>
        <v>347818.6779666667</v>
      </c>
      <c r="F82">
        <f t="shared" si="45"/>
        <v>25020.723225222224</v>
      </c>
      <c r="G82">
        <f t="shared" si="45"/>
        <v>4771.9376240355568</v>
      </c>
      <c r="H82">
        <f t="shared" si="45"/>
        <v>43695.269936032666</v>
      </c>
      <c r="I82">
        <f t="shared" si="45"/>
        <v>75105.383320566529</v>
      </c>
      <c r="J82">
        <f t="shared" si="45"/>
        <v>47106.133939939311</v>
      </c>
      <c r="K82">
        <f t="shared" si="45"/>
        <v>19621.733242564922</v>
      </c>
      <c r="L82">
        <f t="shared" si="45"/>
        <v>27285.110365339522</v>
      </c>
      <c r="M82">
        <f t="shared" si="45"/>
        <v>34559.928229672645</v>
      </c>
      <c r="N82">
        <f t="shared" si="45"/>
        <v>7939.1518403385735</v>
      </c>
      <c r="O82">
        <f t="shared" si="45"/>
        <v>25820.704722348411</v>
      </c>
      <c r="P82">
        <f t="shared" si="45"/>
        <v>17679.112636289625</v>
      </c>
      <c r="Q82">
        <f t="shared" si="45"/>
        <v>35820.18527317408</v>
      </c>
      <c r="R82">
        <f t="shared" si="45"/>
        <v>15514.117613087295</v>
      </c>
      <c r="S82">
        <f t="shared" si="45"/>
        <v>35608.754007887968</v>
      </c>
      <c r="T82">
        <f t="shared" si="45"/>
        <v>2775.4278339773018</v>
      </c>
      <c r="U82">
        <f t="shared" si="45"/>
        <v>13803.195072833611</v>
      </c>
      <c r="V82">
        <f t="shared" si="45"/>
        <v>0</v>
      </c>
      <c r="W82">
        <f t="shared" si="45"/>
        <v>1085886.4100556392</v>
      </c>
    </row>
    <row r="83" spans="2:23" x14ac:dyDescent="0.25">
      <c r="B83">
        <v>8</v>
      </c>
      <c r="C83">
        <f t="shared" ref="C83:W83" si="46">C73/SUM(C$66:C$74)*(C$18-C$6)</f>
        <v>40126.666666666672</v>
      </c>
      <c r="D83">
        <f t="shared" si="46"/>
        <v>28153.813333333332</v>
      </c>
      <c r="E83">
        <f t="shared" si="46"/>
        <v>341414.68946666666</v>
      </c>
      <c r="F83">
        <f t="shared" si="46"/>
        <v>24364.466178666666</v>
      </c>
      <c r="G83">
        <f t="shared" si="46"/>
        <v>4613.2221701688886</v>
      </c>
      <c r="H83">
        <f t="shared" si="46"/>
        <v>41965.219093183994</v>
      </c>
      <c r="I83">
        <f t="shared" si="46"/>
        <v>71702.851532407425</v>
      </c>
      <c r="J83">
        <f t="shared" si="46"/>
        <v>44729.415177156123</v>
      </c>
      <c r="K83">
        <f t="shared" si="46"/>
        <v>18540.512463690564</v>
      </c>
      <c r="L83">
        <f t="shared" si="46"/>
        <v>25667.138418203635</v>
      </c>
      <c r="M83">
        <f t="shared" si="46"/>
        <v>32379.74031164802</v>
      </c>
      <c r="N83">
        <f t="shared" si="46"/>
        <v>7411.2137482219841</v>
      </c>
      <c r="O83">
        <f t="shared" si="46"/>
        <v>24024.259931111043</v>
      </c>
      <c r="P83">
        <f t="shared" si="46"/>
        <v>16400.177932597555</v>
      </c>
      <c r="Q83">
        <f t="shared" si="46"/>
        <v>33139.829870810012</v>
      </c>
      <c r="R83">
        <f t="shared" si="46"/>
        <v>14318.642274860618</v>
      </c>
      <c r="S83">
        <f t="shared" si="46"/>
        <v>32793.860972668299</v>
      </c>
      <c r="T83">
        <f t="shared" si="46"/>
        <v>2551.0972334902772</v>
      </c>
      <c r="U83">
        <f t="shared" si="46"/>
        <v>12665.74140351783</v>
      </c>
      <c r="V83">
        <f t="shared" si="46"/>
        <v>0</v>
      </c>
      <c r="W83">
        <f t="shared" si="46"/>
        <v>993559.10980699584</v>
      </c>
    </row>
    <row r="84" spans="2:23" x14ac:dyDescent="0.25">
      <c r="B84">
        <v>9</v>
      </c>
      <c r="C84">
        <f t="shared" ref="C84:W84" si="47">C74/SUM(C$66:C$74)*(C$18-C$6)</f>
        <v>40126.666666666672</v>
      </c>
      <c r="D84">
        <f t="shared" si="47"/>
        <v>27877.795555555556</v>
      </c>
      <c r="E84">
        <f t="shared" si="47"/>
        <v>334945.01903333334</v>
      </c>
      <c r="F84">
        <f t="shared" si="47"/>
        <v>23694.678533444447</v>
      </c>
      <c r="G84">
        <f t="shared" si="47"/>
        <v>4449.572991857779</v>
      </c>
      <c r="H84">
        <f t="shared" si="47"/>
        <v>40163.094289495333</v>
      </c>
      <c r="I84">
        <f t="shared" si="47"/>
        <v>68122.221118465983</v>
      </c>
      <c r="J84">
        <f t="shared" si="47"/>
        <v>42202.641581411575</v>
      </c>
      <c r="K84">
        <f t="shared" si="47"/>
        <v>17379.240149760415</v>
      </c>
      <c r="L84">
        <f t="shared" si="47"/>
        <v>23911.553857991705</v>
      </c>
      <c r="M84">
        <f t="shared" si="47"/>
        <v>29989.862519484006</v>
      </c>
      <c r="N84">
        <f t="shared" si="47"/>
        <v>6826.5641082931916</v>
      </c>
      <c r="O84">
        <f t="shared" si="47"/>
        <v>22014.438795972583</v>
      </c>
      <c r="P84">
        <f t="shared" si="47"/>
        <v>14954.66269069842</v>
      </c>
      <c r="Q84">
        <f t="shared" si="47"/>
        <v>30079.294669014718</v>
      </c>
      <c r="R84">
        <f t="shared" si="47"/>
        <v>12939.604276649558</v>
      </c>
      <c r="S84">
        <f t="shared" si="47"/>
        <v>29513.451577158932</v>
      </c>
      <c r="T84">
        <f t="shared" si="47"/>
        <v>2286.9870592103698</v>
      </c>
      <c r="U84">
        <f t="shared" si="47"/>
        <v>11312.856923720201</v>
      </c>
      <c r="V84">
        <f t="shared" si="47"/>
        <v>0</v>
      </c>
      <c r="W84">
        <f t="shared" si="47"/>
        <v>881481.80557414831</v>
      </c>
    </row>
    <row r="85" spans="2:23" x14ac:dyDescent="0.25">
      <c r="C85" t="s">
        <v>44</v>
      </c>
    </row>
    <row r="86" spans="2:23" x14ac:dyDescent="0.25">
      <c r="B86">
        <v>1</v>
      </c>
      <c r="C86">
        <f>C66/SUM(C$66:C$74)*C$7</f>
        <v>6269.5555555555557</v>
      </c>
      <c r="D86">
        <f t="shared" ref="D86:W86" si="48">D66/SUM(D$66:D$74)*D$7</f>
        <v>3309.8666666666663</v>
      </c>
      <c r="E86">
        <f t="shared" si="48"/>
        <v>44227.2768</v>
      </c>
      <c r="F86">
        <f t="shared" si="48"/>
        <v>1834.942464</v>
      </c>
      <c r="G86">
        <f t="shared" si="48"/>
        <v>2234.1589401599995</v>
      </c>
      <c r="H86">
        <f t="shared" si="48"/>
        <v>9985.0540548095978</v>
      </c>
      <c r="I86">
        <f t="shared" si="48"/>
        <v>35160.43623609138</v>
      </c>
      <c r="J86">
        <f t="shared" si="48"/>
        <v>12057.893222052</v>
      </c>
      <c r="K86">
        <f t="shared" si="48"/>
        <v>4751.1519215851913</v>
      </c>
      <c r="L86">
        <f t="shared" si="48"/>
        <v>8179.9807140134826</v>
      </c>
      <c r="M86">
        <f t="shared" si="48"/>
        <v>13391.576046191023</v>
      </c>
      <c r="N86">
        <f t="shared" si="48"/>
        <v>639.94130209997888</v>
      </c>
      <c r="O86">
        <f t="shared" si="48"/>
        <v>7481.8669256157127</v>
      </c>
      <c r="P86">
        <f t="shared" si="48"/>
        <v>11145.10879119415</v>
      </c>
      <c r="Q86">
        <f t="shared" si="48"/>
        <v>35627.748935650117</v>
      </c>
      <c r="R86">
        <f t="shared" si="48"/>
        <v>24243.247311959549</v>
      </c>
      <c r="S86">
        <f t="shared" si="48"/>
        <v>14421.579315998837</v>
      </c>
      <c r="T86">
        <f t="shared" si="48"/>
        <v>659.399076492056</v>
      </c>
      <c r="U86">
        <f t="shared" si="48"/>
        <v>2361.2470878178701</v>
      </c>
      <c r="V86">
        <f t="shared" si="48"/>
        <v>3042.5524019148006</v>
      </c>
      <c r="W86">
        <f t="shared" si="48"/>
        <v>156780.37508643209</v>
      </c>
    </row>
    <row r="87" spans="2:23" x14ac:dyDescent="0.25">
      <c r="B87">
        <v>2</v>
      </c>
      <c r="C87">
        <f t="shared" ref="C87:W87" si="49">C67/SUM(C$66:C$74)*C$7</f>
        <v>6269.5555555555557</v>
      </c>
      <c r="D87">
        <f t="shared" si="49"/>
        <v>3344.3444444444444</v>
      </c>
      <c r="E87">
        <f t="shared" si="49"/>
        <v>45153.477366666659</v>
      </c>
      <c r="F87">
        <f t="shared" si="49"/>
        <v>1892.8838019999996</v>
      </c>
      <c r="G87">
        <f t="shared" si="49"/>
        <v>2328.713553771111</v>
      </c>
      <c r="H87">
        <f t="shared" si="49"/>
        <v>10516.056878722198</v>
      </c>
      <c r="I87">
        <f t="shared" si="49"/>
        <v>37415.991832070766</v>
      </c>
      <c r="J87">
        <f t="shared" si="49"/>
        <v>12965.072279101292</v>
      </c>
      <c r="K87">
        <f t="shared" si="49"/>
        <v>5161.8208478521574</v>
      </c>
      <c r="L87">
        <f t="shared" si="49"/>
        <v>8979.5958544748337</v>
      </c>
      <c r="M87">
        <f t="shared" si="49"/>
        <v>14853.770316016335</v>
      </c>
      <c r="N87">
        <f t="shared" si="49"/>
        <v>717.20887349631494</v>
      </c>
      <c r="O87">
        <f t="shared" si="49"/>
        <v>8472.5861637109574</v>
      </c>
      <c r="P87">
        <f t="shared" si="49"/>
        <v>12752.367742881714</v>
      </c>
      <c r="Q87">
        <f t="shared" si="49"/>
        <v>41190.342239556208</v>
      </c>
      <c r="R87">
        <f t="shared" si="49"/>
        <v>28320.330041818717</v>
      </c>
      <c r="S87">
        <f t="shared" si="49"/>
        <v>17022.401995975757</v>
      </c>
      <c r="T87">
        <f t="shared" si="49"/>
        <v>786.42417499986016</v>
      </c>
      <c r="U87">
        <f t="shared" si="49"/>
        <v>2845.4467159202368</v>
      </c>
      <c r="V87">
        <f t="shared" si="49"/>
        <v>3704.6534652033624</v>
      </c>
      <c r="W87">
        <f t="shared" si="49"/>
        <v>192886.45156464446</v>
      </c>
    </row>
    <row r="88" spans="2:23" x14ac:dyDescent="0.25">
      <c r="B88">
        <v>3</v>
      </c>
      <c r="C88">
        <f t="shared" ref="C88:W88" si="50">C68/SUM(C$66:C$74)*C$7</f>
        <v>6269.5555555555557</v>
      </c>
      <c r="D88">
        <f t="shared" si="50"/>
        <v>3378.8222222222225</v>
      </c>
      <c r="E88">
        <f t="shared" si="50"/>
        <v>46089.275866666663</v>
      </c>
      <c r="F88">
        <f t="shared" si="50"/>
        <v>1952.0322079999999</v>
      </c>
      <c r="G88">
        <f t="shared" si="50"/>
        <v>2426.2382022044449</v>
      </c>
      <c r="H88">
        <f t="shared" si="50"/>
        <v>11069.414077612801</v>
      </c>
      <c r="I88">
        <f t="shared" si="50"/>
        <v>39790.858625236389</v>
      </c>
      <c r="J88">
        <f t="shared" si="50"/>
        <v>13930.135223262032</v>
      </c>
      <c r="K88">
        <f t="shared" si="50"/>
        <v>5603.2197959483701</v>
      </c>
      <c r="L88">
        <f t="shared" si="50"/>
        <v>9847.950650360619</v>
      </c>
      <c r="M88">
        <f t="shared" si="50"/>
        <v>16458.11597740099</v>
      </c>
      <c r="N88">
        <f t="shared" si="50"/>
        <v>802.86663435179514</v>
      </c>
      <c r="O88">
        <f t="shared" si="50"/>
        <v>9582.2631042727244</v>
      </c>
      <c r="P88">
        <f t="shared" si="50"/>
        <v>14571.265337836167</v>
      </c>
      <c r="Q88">
        <f t="shared" si="50"/>
        <v>47550.619607391433</v>
      </c>
      <c r="R88">
        <f t="shared" si="50"/>
        <v>33030.369471741367</v>
      </c>
      <c r="S88">
        <f t="shared" si="50"/>
        <v>20058.123698966101</v>
      </c>
      <c r="T88">
        <f t="shared" si="50"/>
        <v>936.22591782887662</v>
      </c>
      <c r="U88">
        <f t="shared" si="50"/>
        <v>3422.3829455861242</v>
      </c>
      <c r="V88">
        <f t="shared" si="50"/>
        <v>4501.7365660048154</v>
      </c>
      <c r="W88">
        <f t="shared" si="50"/>
        <v>236803.73726406362</v>
      </c>
    </row>
    <row r="89" spans="2:23" x14ac:dyDescent="0.25">
      <c r="B89">
        <v>4</v>
      </c>
      <c r="C89">
        <f t="shared" ref="C89:W89" si="51">C69/SUM(C$66:C$74)*C$7</f>
        <v>6269.5555555555557</v>
      </c>
      <c r="D89">
        <f t="shared" si="51"/>
        <v>3413.2999999999997</v>
      </c>
      <c r="E89">
        <f t="shared" si="51"/>
        <v>47034.672299999991</v>
      </c>
      <c r="F89">
        <f t="shared" si="51"/>
        <v>2012.4001259999995</v>
      </c>
      <c r="G89">
        <f t="shared" si="51"/>
        <v>2526.7944378599996</v>
      </c>
      <c r="H89">
        <f t="shared" si="51"/>
        <v>11645.824151075396</v>
      </c>
      <c r="I89">
        <f t="shared" si="51"/>
        <v>42290.033004227036</v>
      </c>
      <c r="J89">
        <f t="shared" si="51"/>
        <v>14956.127698148426</v>
      </c>
      <c r="K89">
        <f t="shared" si="51"/>
        <v>6077.2990846905495</v>
      </c>
      <c r="L89">
        <f t="shared" si="51"/>
        <v>10790.161221527604</v>
      </c>
      <c r="M89">
        <f t="shared" si="51"/>
        <v>18216.767163107892</v>
      </c>
      <c r="N89">
        <f t="shared" si="51"/>
        <v>897.72582293673941</v>
      </c>
      <c r="O89">
        <f t="shared" si="51"/>
        <v>10823.744155733621</v>
      </c>
      <c r="P89">
        <f t="shared" si="51"/>
        <v>16627.07333911266</v>
      </c>
      <c r="Q89">
        <f t="shared" si="51"/>
        <v>54813.03442009601</v>
      </c>
      <c r="R89">
        <f t="shared" si="51"/>
        <v>38463.625298307095</v>
      </c>
      <c r="S89">
        <f t="shared" si="51"/>
        <v>23595.881571838214</v>
      </c>
      <c r="T89">
        <f t="shared" si="51"/>
        <v>1112.5913549119625</v>
      </c>
      <c r="U89">
        <f t="shared" si="51"/>
        <v>4108.5894188725961</v>
      </c>
      <c r="V89">
        <f t="shared" si="51"/>
        <v>5459.5058593330741</v>
      </c>
      <c r="W89">
        <f t="shared" si="51"/>
        <v>290115.49854332837</v>
      </c>
    </row>
    <row r="90" spans="2:23" x14ac:dyDescent="0.25">
      <c r="B90">
        <v>5</v>
      </c>
      <c r="C90">
        <f t="shared" ref="C90:W90" si="52">C70/SUM(C$66:C$74)*C$7</f>
        <v>6269.5555555555557</v>
      </c>
      <c r="D90">
        <f t="shared" si="52"/>
        <v>3447.7777777777774</v>
      </c>
      <c r="E90">
        <f t="shared" si="52"/>
        <v>47989.666666666657</v>
      </c>
      <c r="F90">
        <f t="shared" si="52"/>
        <v>2074</v>
      </c>
      <c r="G90">
        <f t="shared" si="52"/>
        <v>2630.4444444444448</v>
      </c>
      <c r="H90">
        <f t="shared" si="52"/>
        <v>12245.999999999998</v>
      </c>
      <c r="I90">
        <f t="shared" si="52"/>
        <v>44918.666666666664</v>
      </c>
      <c r="J90">
        <f t="shared" si="52"/>
        <v>16046.222222222223</v>
      </c>
      <c r="K90">
        <f t="shared" si="52"/>
        <v>6586.1111111111104</v>
      </c>
      <c r="L90">
        <f t="shared" si="52"/>
        <v>11811.666666666666</v>
      </c>
      <c r="M90">
        <f t="shared" si="52"/>
        <v>20142.777777777777</v>
      </c>
      <c r="N90">
        <f t="shared" si="52"/>
        <v>1002.6666666666666</v>
      </c>
      <c r="O90">
        <f t="shared" si="52"/>
        <v>12211.111111111111</v>
      </c>
      <c r="P90">
        <f t="shared" si="52"/>
        <v>18947.777777777777</v>
      </c>
      <c r="Q90">
        <f t="shared" si="52"/>
        <v>63094.444444444438</v>
      </c>
      <c r="R90">
        <f t="shared" si="52"/>
        <v>44722.111111111117</v>
      </c>
      <c r="S90">
        <f t="shared" si="52"/>
        <v>27712.333333333332</v>
      </c>
      <c r="T90">
        <f t="shared" si="52"/>
        <v>1319.8888888888889</v>
      </c>
      <c r="U90">
        <f t="shared" si="52"/>
        <v>4923.3333333333321</v>
      </c>
      <c r="V90">
        <f t="shared" si="52"/>
        <v>6608.2222222222226</v>
      </c>
      <c r="W90">
        <f t="shared" si="52"/>
        <v>354704.77777777775</v>
      </c>
    </row>
    <row r="91" spans="2:23" x14ac:dyDescent="0.25">
      <c r="B91">
        <v>6</v>
      </c>
      <c r="C91">
        <f t="shared" ref="C91:W91" si="53">C71/SUM(C$66:C$74)*C$7</f>
        <v>6269.5555555555557</v>
      </c>
      <c r="D91">
        <f t="shared" si="53"/>
        <v>3585.6888888888889</v>
      </c>
      <c r="E91">
        <f t="shared" si="53"/>
        <v>51752.056533333329</v>
      </c>
      <c r="F91">
        <f t="shared" si="53"/>
        <v>2313.0575359999998</v>
      </c>
      <c r="G91">
        <f t="shared" si="53"/>
        <v>3026.7299487288897</v>
      </c>
      <c r="H91">
        <f t="shared" si="53"/>
        <v>14506.9459451904</v>
      </c>
      <c r="I91">
        <f t="shared" si="53"/>
        <v>54676.897097241948</v>
      </c>
      <c r="J91">
        <f t="shared" si="53"/>
        <v>20034.551222392442</v>
      </c>
      <c r="K91">
        <f t="shared" si="53"/>
        <v>8421.0703006370295</v>
      </c>
      <c r="L91">
        <f t="shared" si="53"/>
        <v>15443.35261931985</v>
      </c>
      <c r="M91">
        <f t="shared" si="53"/>
        <v>26893.97950936453</v>
      </c>
      <c r="N91">
        <f t="shared" si="53"/>
        <v>1365.3920312333544</v>
      </c>
      <c r="O91">
        <f t="shared" si="53"/>
        <v>16940.355296606511</v>
      </c>
      <c r="P91">
        <f t="shared" si="53"/>
        <v>26750.446764361401</v>
      </c>
      <c r="Q91">
        <f t="shared" si="53"/>
        <v>90561.139953238759</v>
      </c>
      <c r="R91">
        <f t="shared" si="53"/>
        <v>65200.974910262688</v>
      </c>
      <c r="S91">
        <f t="shared" si="53"/>
        <v>41003.087350667825</v>
      </c>
      <c r="T91">
        <f t="shared" si="53"/>
        <v>1980.3787012857217</v>
      </c>
      <c r="U91">
        <f t="shared" si="53"/>
        <v>7485.4195788487959</v>
      </c>
      <c r="V91">
        <f t="shared" si="53"/>
        <v>10173.892042529646</v>
      </c>
      <c r="W91">
        <f t="shared" si="53"/>
        <v>552629.18046912341</v>
      </c>
    </row>
    <row r="92" spans="2:23" x14ac:dyDescent="0.25">
      <c r="B92">
        <v>7</v>
      </c>
      <c r="C92">
        <f t="shared" ref="C92:W92" si="54">C72/SUM(C$66:C$74)*C$7</f>
        <v>6269.5555555555557</v>
      </c>
      <c r="D92">
        <f t="shared" si="54"/>
        <v>3551.2111111111112</v>
      </c>
      <c r="E92">
        <f t="shared" si="54"/>
        <v>50825.85596666667</v>
      </c>
      <c r="F92">
        <f t="shared" si="54"/>
        <v>2255.1161980000002</v>
      </c>
      <c r="G92">
        <f t="shared" si="54"/>
        <v>2932.1753351177786</v>
      </c>
      <c r="H92">
        <f t="shared" si="54"/>
        <v>13975.9431212778</v>
      </c>
      <c r="I92">
        <f t="shared" si="54"/>
        <v>52421.34150126257</v>
      </c>
      <c r="J92">
        <f t="shared" si="54"/>
        <v>19127.372165343153</v>
      </c>
      <c r="K92">
        <f t="shared" si="54"/>
        <v>8010.4013743700634</v>
      </c>
      <c r="L92">
        <f t="shared" si="54"/>
        <v>14643.737478858497</v>
      </c>
      <c r="M92">
        <f t="shared" si="54"/>
        <v>25431.785239539218</v>
      </c>
      <c r="N92">
        <f t="shared" si="54"/>
        <v>1288.1244598370183</v>
      </c>
      <c r="O92">
        <f t="shared" si="54"/>
        <v>15949.636058511267</v>
      </c>
      <c r="P92">
        <f t="shared" si="54"/>
        <v>25143.187812673841</v>
      </c>
      <c r="Q92">
        <f t="shared" si="54"/>
        <v>84998.546649332653</v>
      </c>
      <c r="R92">
        <f t="shared" si="54"/>
        <v>61123.89218040352</v>
      </c>
      <c r="S92">
        <f t="shared" si="54"/>
        <v>38402.264670690914</v>
      </c>
      <c r="T92">
        <f t="shared" si="54"/>
        <v>1853.3536027779173</v>
      </c>
      <c r="U92">
        <f t="shared" si="54"/>
        <v>7001.2199507464293</v>
      </c>
      <c r="V92">
        <f t="shared" si="54"/>
        <v>9511.7909792410846</v>
      </c>
      <c r="W92">
        <f t="shared" si="54"/>
        <v>516523.10399091104</v>
      </c>
    </row>
    <row r="93" spans="2:23" x14ac:dyDescent="0.25">
      <c r="B93">
        <v>8</v>
      </c>
      <c r="C93">
        <f t="shared" ref="C93:W93" si="55">C73/SUM(C$66:C$74)*C$7</f>
        <v>6269.5555555555557</v>
      </c>
      <c r="D93">
        <f t="shared" si="55"/>
        <v>3516.7333333333331</v>
      </c>
      <c r="E93">
        <f t="shared" si="55"/>
        <v>49890.057466666665</v>
      </c>
      <c r="F93">
        <f t="shared" si="55"/>
        <v>2195.9677919999999</v>
      </c>
      <c r="G93">
        <f t="shared" si="55"/>
        <v>2834.6506866844447</v>
      </c>
      <c r="H93">
        <f t="shared" si="55"/>
        <v>13422.585922387199</v>
      </c>
      <c r="I93">
        <f t="shared" si="55"/>
        <v>50046.474708096939</v>
      </c>
      <c r="J93">
        <f t="shared" si="55"/>
        <v>18162.309221182411</v>
      </c>
      <c r="K93">
        <f t="shared" si="55"/>
        <v>7569.0024262738516</v>
      </c>
      <c r="L93">
        <f t="shared" si="55"/>
        <v>13775.382682972713</v>
      </c>
      <c r="M93">
        <f t="shared" si="55"/>
        <v>23827.439578154565</v>
      </c>
      <c r="N93">
        <f t="shared" si="55"/>
        <v>1202.466698981538</v>
      </c>
      <c r="O93">
        <f t="shared" si="55"/>
        <v>14839.959117949502</v>
      </c>
      <c r="P93">
        <f t="shared" si="55"/>
        <v>23324.290217719386</v>
      </c>
      <c r="Q93">
        <f t="shared" si="55"/>
        <v>78638.269281497458</v>
      </c>
      <c r="R93">
        <f t="shared" si="55"/>
        <v>56413.852750480852</v>
      </c>
      <c r="S93">
        <f t="shared" si="55"/>
        <v>35366.54296770056</v>
      </c>
      <c r="T93">
        <f t="shared" si="55"/>
        <v>1703.551859948901</v>
      </c>
      <c r="U93">
        <f t="shared" si="55"/>
        <v>6424.2837210805419</v>
      </c>
      <c r="V93">
        <f t="shared" si="55"/>
        <v>8714.707878439629</v>
      </c>
      <c r="W93">
        <f t="shared" si="55"/>
        <v>472605.81829149189</v>
      </c>
    </row>
    <row r="94" spans="2:23" x14ac:dyDescent="0.25">
      <c r="B94">
        <v>9</v>
      </c>
      <c r="C94">
        <f t="shared" ref="C94:W94" si="56">C74/SUM(C$66:C$74)*C$7</f>
        <v>6269.5555555555557</v>
      </c>
      <c r="D94">
        <f t="shared" si="56"/>
        <v>3482.2555555555555</v>
      </c>
      <c r="E94">
        <f t="shared" si="56"/>
        <v>48944.661033333337</v>
      </c>
      <c r="F94">
        <f t="shared" si="56"/>
        <v>2135.599874</v>
      </c>
      <c r="G94">
        <f t="shared" si="56"/>
        <v>2734.0944510288896</v>
      </c>
      <c r="H94">
        <f t="shared" si="56"/>
        <v>12846.1758489246</v>
      </c>
      <c r="I94">
        <f t="shared" si="56"/>
        <v>47547.300329106292</v>
      </c>
      <c r="J94">
        <f t="shared" si="56"/>
        <v>17136.316746296015</v>
      </c>
      <c r="K94">
        <f t="shared" si="56"/>
        <v>7094.9231375316722</v>
      </c>
      <c r="L94">
        <f t="shared" si="56"/>
        <v>12833.17211180573</v>
      </c>
      <c r="M94">
        <f t="shared" si="56"/>
        <v>22068.788392447655</v>
      </c>
      <c r="N94">
        <f t="shared" si="56"/>
        <v>1107.6075103965939</v>
      </c>
      <c r="O94">
        <f t="shared" si="56"/>
        <v>13598.478066488606</v>
      </c>
      <c r="P94">
        <f t="shared" si="56"/>
        <v>21268.482216442895</v>
      </c>
      <c r="Q94">
        <f t="shared" si="56"/>
        <v>71375.854468792866</v>
      </c>
      <c r="R94">
        <f t="shared" si="56"/>
        <v>50980.596923915138</v>
      </c>
      <c r="S94">
        <f t="shared" si="56"/>
        <v>31828.785094828454</v>
      </c>
      <c r="T94">
        <f t="shared" si="56"/>
        <v>1527.1864228658151</v>
      </c>
      <c r="U94">
        <f t="shared" si="56"/>
        <v>5738.07724779407</v>
      </c>
      <c r="V94">
        <f t="shared" si="56"/>
        <v>7756.938585111372</v>
      </c>
      <c r="W94">
        <f t="shared" si="56"/>
        <v>419294.05701222713</v>
      </c>
    </row>
    <row r="95" spans="2:23" x14ac:dyDescent="0.25">
      <c r="C95" t="s">
        <v>45</v>
      </c>
    </row>
    <row r="96" spans="2:23" x14ac:dyDescent="0.25">
      <c r="B96">
        <v>1</v>
      </c>
      <c r="C96">
        <f>C66/SUM(C$66:C$74)*SUM(C$16:C$17)</f>
        <v>-283</v>
      </c>
      <c r="D96">
        <f t="shared" ref="D96:W96" si="57">D66/SUM(D$66:D$74)*SUM(D$16:D$17)</f>
        <v>280</v>
      </c>
      <c r="E96">
        <f t="shared" si="57"/>
        <v>2852.8639999999996</v>
      </c>
      <c r="F96">
        <f t="shared" si="57"/>
        <v>314.376192</v>
      </c>
      <c r="G96">
        <f t="shared" si="57"/>
        <v>88.143298559999991</v>
      </c>
      <c r="H96">
        <f t="shared" si="57"/>
        <v>298.78879518719992</v>
      </c>
      <c r="I96">
        <f t="shared" si="57"/>
        <v>1124.9968899686396</v>
      </c>
      <c r="J96">
        <f t="shared" si="57"/>
        <v>463.97707064967153</v>
      </c>
      <c r="K96">
        <f t="shared" si="57"/>
        <v>131.21274897739281</v>
      </c>
      <c r="L96">
        <f t="shared" si="57"/>
        <v>436.98895136524686</v>
      </c>
      <c r="M96">
        <f t="shared" si="57"/>
        <v>684.18665272814223</v>
      </c>
      <c r="N96">
        <f t="shared" si="57"/>
        <v>44.393091213939144</v>
      </c>
      <c r="O96">
        <f t="shared" si="57"/>
        <v>231.60428827065198</v>
      </c>
      <c r="P96">
        <f t="shared" si="57"/>
        <v>322.53041625838932</v>
      </c>
      <c r="Q96">
        <f t="shared" si="57"/>
        <v>17.442131203857944</v>
      </c>
      <c r="R96">
        <f t="shared" si="57"/>
        <v>134.85904494539722</v>
      </c>
      <c r="S96">
        <f t="shared" si="57"/>
        <v>180.05941193459944</v>
      </c>
      <c r="T96">
        <f t="shared" si="57"/>
        <v>14.932094585096646</v>
      </c>
      <c r="U96">
        <f t="shared" si="57"/>
        <v>58.085292839572972</v>
      </c>
      <c r="V96">
        <f t="shared" si="57"/>
        <v>0</v>
      </c>
      <c r="W96">
        <f t="shared" si="57"/>
        <v>4242.7813628084314</v>
      </c>
    </row>
    <row r="97" spans="2:23" x14ac:dyDescent="0.25">
      <c r="B97">
        <v>2</v>
      </c>
      <c r="C97">
        <f t="shared" ref="C97:W97" si="58">C67/SUM(C$66:C$74)*SUM(C$16:C$17)</f>
        <v>-283</v>
      </c>
      <c r="D97">
        <f t="shared" si="58"/>
        <v>282.91666666666669</v>
      </c>
      <c r="E97">
        <f t="shared" si="58"/>
        <v>2912.6082222222217</v>
      </c>
      <c r="F97">
        <f t="shared" si="58"/>
        <v>324.30313933333326</v>
      </c>
      <c r="G97">
        <f t="shared" si="58"/>
        <v>91.873720504444435</v>
      </c>
      <c r="H97">
        <f t="shared" si="58"/>
        <v>314.6783129731777</v>
      </c>
      <c r="I97">
        <f t="shared" si="58"/>
        <v>1197.1658759729569</v>
      </c>
      <c r="J97">
        <f t="shared" si="58"/>
        <v>498.88451871652643</v>
      </c>
      <c r="K97">
        <f t="shared" si="58"/>
        <v>142.55420882216757</v>
      </c>
      <c r="L97">
        <f t="shared" si="58"/>
        <v>479.70579801103037</v>
      </c>
      <c r="M97">
        <f t="shared" si="58"/>
        <v>758.8913625889802</v>
      </c>
      <c r="N97">
        <f t="shared" si="58"/>
        <v>49.753186481459792</v>
      </c>
      <c r="O97">
        <f t="shared" si="58"/>
        <v>262.2724124562755</v>
      </c>
      <c r="P97">
        <f t="shared" si="58"/>
        <v>369.04318777412334</v>
      </c>
      <c r="Q97">
        <f t="shared" si="58"/>
        <v>20.165387237116537</v>
      </c>
      <c r="R97">
        <f t="shared" si="58"/>
        <v>157.53882360858563</v>
      </c>
      <c r="S97">
        <f t="shared" si="58"/>
        <v>212.53176409808913</v>
      </c>
      <c r="T97">
        <f t="shared" si="58"/>
        <v>17.808578422002054</v>
      </c>
      <c r="U97">
        <f t="shared" si="58"/>
        <v>69.99631957465715</v>
      </c>
      <c r="V97">
        <f t="shared" si="58"/>
        <v>0</v>
      </c>
      <c r="W97">
        <f t="shared" si="58"/>
        <v>5219.881897753844</v>
      </c>
    </row>
    <row r="98" spans="2:23" x14ac:dyDescent="0.25">
      <c r="B98">
        <v>3</v>
      </c>
      <c r="C98">
        <f t="shared" ref="C98:W98" si="59">C68/SUM(C$66:C$74)*SUM(C$16:C$17)</f>
        <v>-283</v>
      </c>
      <c r="D98">
        <f t="shared" si="59"/>
        <v>285.83333333333337</v>
      </c>
      <c r="E98">
        <f t="shared" si="59"/>
        <v>2972.9715555555554</v>
      </c>
      <c r="F98">
        <f t="shared" si="59"/>
        <v>334.43689066666667</v>
      </c>
      <c r="G98">
        <f t="shared" si="59"/>
        <v>95.721317937777783</v>
      </c>
      <c r="H98">
        <f t="shared" si="59"/>
        <v>331.23675420515553</v>
      </c>
      <c r="I98">
        <f t="shared" si="59"/>
        <v>1273.1523551639821</v>
      </c>
      <c r="J98">
        <f t="shared" si="59"/>
        <v>536.01928758355803</v>
      </c>
      <c r="K98">
        <f t="shared" si="59"/>
        <v>154.74434088515363</v>
      </c>
      <c r="L98">
        <f t="shared" si="59"/>
        <v>526.09483790412446</v>
      </c>
      <c r="M98">
        <f t="shared" si="59"/>
        <v>840.85870415471754</v>
      </c>
      <c r="N98">
        <f t="shared" si="59"/>
        <v>55.695313952152453</v>
      </c>
      <c r="O98">
        <f t="shared" si="59"/>
        <v>296.62292157175438</v>
      </c>
      <c r="P98">
        <f t="shared" si="59"/>
        <v>421.68061011095693</v>
      </c>
      <c r="Q98">
        <f t="shared" si="59"/>
        <v>23.279162192224739</v>
      </c>
      <c r="R98">
        <f t="shared" si="59"/>
        <v>183.73958009145096</v>
      </c>
      <c r="S98">
        <f t="shared" si="59"/>
        <v>250.43401132500347</v>
      </c>
      <c r="T98">
        <f t="shared" si="59"/>
        <v>21.200839455843742</v>
      </c>
      <c r="U98">
        <f t="shared" si="59"/>
        <v>84.188612292685065</v>
      </c>
      <c r="V98">
        <f t="shared" si="59"/>
        <v>0</v>
      </c>
      <c r="W98">
        <f t="shared" si="59"/>
        <v>6408.3689208771484</v>
      </c>
    </row>
    <row r="99" spans="2:23" x14ac:dyDescent="0.25">
      <c r="B99">
        <v>4</v>
      </c>
      <c r="C99">
        <f t="shared" ref="C99:W99" si="60">C69/SUM(C$66:C$74)*SUM(C$16:C$17)</f>
        <v>-283</v>
      </c>
      <c r="D99">
        <f t="shared" si="60"/>
        <v>288.74999999999994</v>
      </c>
      <c r="E99">
        <f t="shared" si="60"/>
        <v>3033.9539999999997</v>
      </c>
      <c r="F99">
        <f t="shared" si="60"/>
        <v>344.7795779999999</v>
      </c>
      <c r="G99">
        <f t="shared" si="60"/>
        <v>99.688519259999978</v>
      </c>
      <c r="H99">
        <f t="shared" si="60"/>
        <v>348.4850205077999</v>
      </c>
      <c r="I99">
        <f t="shared" si="60"/>
        <v>1353.1161925002145</v>
      </c>
      <c r="J99">
        <f t="shared" si="60"/>
        <v>575.49857092434911</v>
      </c>
      <c r="K99">
        <f t="shared" si="60"/>
        <v>167.83700719761163</v>
      </c>
      <c r="L99">
        <f t="shared" si="60"/>
        <v>576.42938316217726</v>
      </c>
      <c r="M99">
        <f t="shared" si="60"/>
        <v>930.7096420812826</v>
      </c>
      <c r="N99">
        <f t="shared" si="60"/>
        <v>62.275749685106263</v>
      </c>
      <c r="O99">
        <f t="shared" si="60"/>
        <v>335.05348150869679</v>
      </c>
      <c r="P99">
        <f t="shared" si="60"/>
        <v>481.17402761110054</v>
      </c>
      <c r="Q99">
        <f t="shared" si="60"/>
        <v>26.834592883308428</v>
      </c>
      <c r="R99">
        <f t="shared" si="60"/>
        <v>213.96340622687157</v>
      </c>
      <c r="S99">
        <f t="shared" si="60"/>
        <v>294.60438879882685</v>
      </c>
      <c r="T99">
        <f t="shared" si="60"/>
        <v>25.194635446697358</v>
      </c>
      <c r="U99">
        <f t="shared" si="60"/>
        <v>101.06888888673278</v>
      </c>
      <c r="V99">
        <f t="shared" si="60"/>
        <v>0</v>
      </c>
      <c r="W99">
        <f t="shared" si="60"/>
        <v>7851.0886939958154</v>
      </c>
    </row>
    <row r="100" spans="2:23" x14ac:dyDescent="0.25">
      <c r="B100">
        <v>5</v>
      </c>
      <c r="C100">
        <f t="shared" ref="C100:W100" si="61">C70/SUM(C$66:C$74)*SUM(C$16:C$17)</f>
        <v>-283</v>
      </c>
      <c r="D100">
        <f t="shared" si="61"/>
        <v>291.66666666666663</v>
      </c>
      <c r="E100">
        <f t="shared" si="61"/>
        <v>3095.5555555555552</v>
      </c>
      <c r="F100">
        <f t="shared" si="61"/>
        <v>355.33333333333331</v>
      </c>
      <c r="G100">
        <f t="shared" si="61"/>
        <v>103.77777777777779</v>
      </c>
      <c r="H100">
        <f t="shared" si="61"/>
        <v>366.4444444444444</v>
      </c>
      <c r="I100">
        <f t="shared" si="61"/>
        <v>1437.2222222222222</v>
      </c>
      <c r="J100">
        <f t="shared" si="61"/>
        <v>617.44444444444446</v>
      </c>
      <c r="K100">
        <f t="shared" si="61"/>
        <v>181.88888888888889</v>
      </c>
      <c r="L100">
        <f t="shared" si="61"/>
        <v>631</v>
      </c>
      <c r="M100">
        <f t="shared" si="61"/>
        <v>1029.1111111111111</v>
      </c>
      <c r="N100">
        <f t="shared" si="61"/>
        <v>69.555555555555557</v>
      </c>
      <c r="O100">
        <f t="shared" si="61"/>
        <v>378</v>
      </c>
      <c r="P100">
        <f t="shared" si="61"/>
        <v>548.33333333333337</v>
      </c>
      <c r="Q100">
        <f t="shared" si="61"/>
        <v>30.888888888888886</v>
      </c>
      <c r="R100">
        <f t="shared" si="61"/>
        <v>248.7777777777778</v>
      </c>
      <c r="S100">
        <f t="shared" si="61"/>
        <v>346</v>
      </c>
      <c r="T100">
        <f t="shared" si="61"/>
        <v>29.888888888888886</v>
      </c>
      <c r="U100">
        <f t="shared" si="61"/>
        <v>121.11111111111109</v>
      </c>
      <c r="V100">
        <f t="shared" si="61"/>
        <v>0</v>
      </c>
      <c r="W100">
        <f t="shared" si="61"/>
        <v>9599</v>
      </c>
    </row>
    <row r="101" spans="2:23" x14ac:dyDescent="0.25">
      <c r="B101">
        <v>6</v>
      </c>
      <c r="C101">
        <f t="shared" ref="C101:W101" si="62">C71/SUM(C$66:C$74)*SUM(C$16:C$17)</f>
        <v>-283</v>
      </c>
      <c r="D101">
        <f t="shared" si="62"/>
        <v>303.33333333333331</v>
      </c>
      <c r="E101">
        <f t="shared" si="62"/>
        <v>3338.2471111111108</v>
      </c>
      <c r="F101">
        <f t="shared" si="62"/>
        <v>396.29047466666668</v>
      </c>
      <c r="G101">
        <f t="shared" si="62"/>
        <v>119.41225699555558</v>
      </c>
      <c r="H101">
        <f t="shared" si="62"/>
        <v>434.10009370168893</v>
      </c>
      <c r="I101">
        <f t="shared" si="62"/>
        <v>1749.4475544758045</v>
      </c>
      <c r="J101">
        <f t="shared" si="62"/>
        <v>770.91181823921727</v>
      </c>
      <c r="K101">
        <f t="shared" si="62"/>
        <v>232.56502880038497</v>
      </c>
      <c r="L101">
        <f t="shared" si="62"/>
        <v>825.01104863475314</v>
      </c>
      <c r="M101">
        <f t="shared" si="62"/>
        <v>1374.0355694940799</v>
      </c>
      <c r="N101">
        <f t="shared" si="62"/>
        <v>94.718019897171956</v>
      </c>
      <c r="O101">
        <f t="shared" si="62"/>
        <v>524.39571172934802</v>
      </c>
      <c r="P101">
        <f t="shared" si="62"/>
        <v>774.13625040827719</v>
      </c>
      <c r="Q101">
        <f t="shared" si="62"/>
        <v>44.335646573919824</v>
      </c>
      <c r="R101">
        <f t="shared" si="62"/>
        <v>362.69651061015844</v>
      </c>
      <c r="S101">
        <f t="shared" si="62"/>
        <v>511.9405880654005</v>
      </c>
      <c r="T101">
        <f t="shared" si="62"/>
        <v>44.845683192681129</v>
      </c>
      <c r="U101">
        <f t="shared" si="62"/>
        <v>184.13692938264924</v>
      </c>
      <c r="V101">
        <f t="shared" si="62"/>
        <v>0</v>
      </c>
      <c r="W101">
        <f t="shared" si="62"/>
        <v>14955.218637191567</v>
      </c>
    </row>
    <row r="102" spans="2:23" x14ac:dyDescent="0.25">
      <c r="B102">
        <v>7</v>
      </c>
      <c r="C102">
        <f t="shared" ref="C102:W102" si="63">C72/SUM(C$66:C$74)*SUM(C$16:C$17)</f>
        <v>-283</v>
      </c>
      <c r="D102">
        <f t="shared" si="63"/>
        <v>300.41666666666669</v>
      </c>
      <c r="E102">
        <f t="shared" si="63"/>
        <v>3278.5028888888892</v>
      </c>
      <c r="F102">
        <f t="shared" si="63"/>
        <v>386.36352733333337</v>
      </c>
      <c r="G102">
        <f t="shared" si="63"/>
        <v>115.68183505111114</v>
      </c>
      <c r="H102">
        <f t="shared" si="63"/>
        <v>418.21057591571116</v>
      </c>
      <c r="I102">
        <f t="shared" si="63"/>
        <v>1677.2785684714877</v>
      </c>
      <c r="J102">
        <f t="shared" si="63"/>
        <v>736.00437017236243</v>
      </c>
      <c r="K102">
        <f t="shared" si="63"/>
        <v>221.2235689556102</v>
      </c>
      <c r="L102">
        <f t="shared" si="63"/>
        <v>782.29420198896946</v>
      </c>
      <c r="M102">
        <f t="shared" si="63"/>
        <v>1299.330859633242</v>
      </c>
      <c r="N102">
        <f t="shared" si="63"/>
        <v>89.357924629651308</v>
      </c>
      <c r="O102">
        <f t="shared" si="63"/>
        <v>493.72758754372455</v>
      </c>
      <c r="P102">
        <f t="shared" si="63"/>
        <v>727.62347889254329</v>
      </c>
      <c r="Q102">
        <f t="shared" si="63"/>
        <v>41.612390540661231</v>
      </c>
      <c r="R102">
        <f t="shared" si="63"/>
        <v>340.01673194696997</v>
      </c>
      <c r="S102">
        <f t="shared" si="63"/>
        <v>479.46823590191087</v>
      </c>
      <c r="T102">
        <f t="shared" si="63"/>
        <v>41.969199355775714</v>
      </c>
      <c r="U102">
        <f t="shared" si="63"/>
        <v>172.22590264756505</v>
      </c>
      <c r="V102">
        <f t="shared" si="63"/>
        <v>0</v>
      </c>
      <c r="W102">
        <f t="shared" si="63"/>
        <v>13978.118102246153</v>
      </c>
    </row>
    <row r="103" spans="2:23" x14ac:dyDescent="0.25">
      <c r="B103">
        <v>8</v>
      </c>
      <c r="C103">
        <f t="shared" ref="C103:W103" si="64">C73/SUM(C$66:C$74)*SUM(C$16:C$17)</f>
        <v>-283</v>
      </c>
      <c r="D103">
        <f t="shared" si="64"/>
        <v>297.5</v>
      </c>
      <c r="E103">
        <f t="shared" si="64"/>
        <v>3218.1395555555555</v>
      </c>
      <c r="F103">
        <f t="shared" si="64"/>
        <v>376.22977599999996</v>
      </c>
      <c r="G103">
        <f t="shared" si="64"/>
        <v>111.83423761777779</v>
      </c>
      <c r="H103">
        <f t="shared" si="64"/>
        <v>401.65213468373332</v>
      </c>
      <c r="I103">
        <f t="shared" si="64"/>
        <v>1601.2920892804623</v>
      </c>
      <c r="J103">
        <f t="shared" si="64"/>
        <v>698.86960130533078</v>
      </c>
      <c r="K103">
        <f t="shared" si="64"/>
        <v>209.03343689262414</v>
      </c>
      <c r="L103">
        <f t="shared" si="64"/>
        <v>735.90516209587543</v>
      </c>
      <c r="M103">
        <f t="shared" si="64"/>
        <v>1217.3635180675046</v>
      </c>
      <c r="N103">
        <f t="shared" si="64"/>
        <v>83.41579715895864</v>
      </c>
      <c r="O103">
        <f t="shared" si="64"/>
        <v>459.37707842824574</v>
      </c>
      <c r="P103">
        <f t="shared" si="64"/>
        <v>674.98605655570964</v>
      </c>
      <c r="Q103">
        <f t="shared" si="64"/>
        <v>38.49861558555304</v>
      </c>
      <c r="R103">
        <f t="shared" si="64"/>
        <v>313.81597546410461</v>
      </c>
      <c r="S103">
        <f t="shared" si="64"/>
        <v>441.5659886749965</v>
      </c>
      <c r="T103">
        <f t="shared" si="64"/>
        <v>38.576938321934037</v>
      </c>
      <c r="U103">
        <f t="shared" si="64"/>
        <v>158.03360992953714</v>
      </c>
      <c r="V103">
        <f t="shared" si="64"/>
        <v>0</v>
      </c>
      <c r="W103">
        <f t="shared" si="64"/>
        <v>12789.63107912285</v>
      </c>
    </row>
    <row r="104" spans="2:23" x14ac:dyDescent="0.25">
      <c r="B104">
        <v>9</v>
      </c>
      <c r="C104">
        <f t="shared" ref="C104:W104" si="65">C74/SUM(C$66:C$74)*SUM(C$16:C$17)</f>
        <v>-283</v>
      </c>
      <c r="D104">
        <f t="shared" si="65"/>
        <v>294.58333333333331</v>
      </c>
      <c r="E104">
        <f t="shared" si="65"/>
        <v>3157.1571111111111</v>
      </c>
      <c r="F104">
        <f t="shared" si="65"/>
        <v>365.88708866666673</v>
      </c>
      <c r="G104">
        <f t="shared" si="65"/>
        <v>107.86703629555558</v>
      </c>
      <c r="H104">
        <f t="shared" si="65"/>
        <v>384.4038683810889</v>
      </c>
      <c r="I104">
        <f t="shared" si="65"/>
        <v>1521.3282519442298</v>
      </c>
      <c r="J104">
        <f t="shared" si="65"/>
        <v>659.39031796453969</v>
      </c>
      <c r="K104">
        <f t="shared" si="65"/>
        <v>195.94077058016612</v>
      </c>
      <c r="L104">
        <f t="shared" si="65"/>
        <v>685.57061683782274</v>
      </c>
      <c r="M104">
        <f t="shared" si="65"/>
        <v>1127.5125801409395</v>
      </c>
      <c r="N104">
        <f t="shared" si="65"/>
        <v>76.835361426004852</v>
      </c>
      <c r="O104">
        <f t="shared" si="65"/>
        <v>420.94651849130332</v>
      </c>
      <c r="P104">
        <f t="shared" si="65"/>
        <v>615.49263905556609</v>
      </c>
      <c r="Q104">
        <f t="shared" si="65"/>
        <v>34.94318489446934</v>
      </c>
      <c r="R104">
        <f t="shared" si="65"/>
        <v>283.592149328684</v>
      </c>
      <c r="S104">
        <f t="shared" si="65"/>
        <v>397.39561120117321</v>
      </c>
      <c r="T104">
        <f t="shared" si="65"/>
        <v>34.583142331080417</v>
      </c>
      <c r="U104">
        <f t="shared" si="65"/>
        <v>141.15333333548941</v>
      </c>
      <c r="V104">
        <f t="shared" si="65"/>
        <v>0</v>
      </c>
      <c r="W104">
        <f t="shared" si="65"/>
        <v>11346.911306004184</v>
      </c>
    </row>
    <row r="105" spans="2:23" x14ac:dyDescent="0.25">
      <c r="C105" t="s">
        <v>46</v>
      </c>
    </row>
    <row r="106" spans="2:23" x14ac:dyDescent="0.25">
      <c r="B106">
        <v>1</v>
      </c>
      <c r="C106">
        <f>C56-C76-C86-C96</f>
        <v>42304.666666666664</v>
      </c>
      <c r="D106">
        <f t="shared" ref="D106:W106" si="66">D56-D76-D86-D96</f>
        <v>17062.399999999998</v>
      </c>
      <c r="E106">
        <f t="shared" si="66"/>
        <v>36241.612799999995</v>
      </c>
      <c r="F106">
        <f t="shared" si="66"/>
        <v>12674.433023999998</v>
      </c>
      <c r="G106">
        <f t="shared" si="66"/>
        <v>3181.1803545599982</v>
      </c>
      <c r="H106">
        <f t="shared" si="66"/>
        <v>13988.9869848576</v>
      </c>
      <c r="I106">
        <f t="shared" si="66"/>
        <v>35497.456951099382</v>
      </c>
      <c r="J106">
        <f t="shared" si="66"/>
        <v>10291.991648497824</v>
      </c>
      <c r="K106">
        <f t="shared" si="66"/>
        <v>4532.9716511414126</v>
      </c>
      <c r="L106">
        <f t="shared" si="66"/>
        <v>9663.9271706218224</v>
      </c>
      <c r="M106">
        <f t="shared" si="66"/>
        <v>19501.978933296017</v>
      </c>
      <c r="N106">
        <f t="shared" si="66"/>
        <v>45837.143157053266</v>
      </c>
      <c r="O106">
        <f t="shared" si="66"/>
        <v>9867.8267995197439</v>
      </c>
      <c r="P106">
        <f t="shared" si="66"/>
        <v>5889.9217109670317</v>
      </c>
      <c r="Q106">
        <f t="shared" si="66"/>
        <v>6323.0862687942608</v>
      </c>
      <c r="R106">
        <f t="shared" si="66"/>
        <v>1034.0598854946707</v>
      </c>
      <c r="S106">
        <f t="shared" si="66"/>
        <v>4554.7976868697087</v>
      </c>
      <c r="T106">
        <f t="shared" si="66"/>
        <v>519.79231856819717</v>
      </c>
      <c r="U106">
        <f t="shared" si="66"/>
        <v>2102.7941793115137</v>
      </c>
      <c r="V106">
        <f t="shared" si="66"/>
        <v>-4.5474735088646412E-13</v>
      </c>
      <c r="W106">
        <f t="shared" si="66"/>
        <v>162863.31080424361</v>
      </c>
    </row>
    <row r="107" spans="2:23" x14ac:dyDescent="0.25">
      <c r="B107">
        <v>2</v>
      </c>
      <c r="C107">
        <f t="shared" ref="C107:W107" si="67">C57-C77-C87-C97</f>
        <v>42304.666666666664</v>
      </c>
      <c r="D107">
        <f t="shared" si="67"/>
        <v>17240.133333333331</v>
      </c>
      <c r="E107">
        <f t="shared" si="67"/>
        <v>37000.57886666667</v>
      </c>
      <c r="F107">
        <f t="shared" si="67"/>
        <v>13074.649173666661</v>
      </c>
      <c r="G107">
        <f t="shared" si="67"/>
        <v>3315.8150369211098</v>
      </c>
      <c r="H107">
        <f t="shared" si="67"/>
        <v>14732.918019367915</v>
      </c>
      <c r="I107">
        <f t="shared" si="67"/>
        <v>37774.632556415199</v>
      </c>
      <c r="J107">
        <f t="shared" si="67"/>
        <v>11066.312593865639</v>
      </c>
      <c r="K107">
        <f t="shared" si="67"/>
        <v>4924.7820229200033</v>
      </c>
      <c r="L107">
        <f t="shared" si="67"/>
        <v>10608.602072936312</v>
      </c>
      <c r="M107">
        <f t="shared" si="67"/>
        <v>21631.353530293516</v>
      </c>
      <c r="N107">
        <f t="shared" si="67"/>
        <v>51371.595644913403</v>
      </c>
      <c r="O107">
        <f t="shared" si="67"/>
        <v>11174.485411022852</v>
      </c>
      <c r="P107">
        <f t="shared" si="67"/>
        <v>6739.3193769790832</v>
      </c>
      <c r="Q107">
        <f t="shared" si="67"/>
        <v>7310.3155602755514</v>
      </c>
      <c r="R107">
        <f t="shared" si="67"/>
        <v>1207.9618239000411</v>
      </c>
      <c r="S107">
        <f t="shared" si="67"/>
        <v>5376.2209767291833</v>
      </c>
      <c r="T107">
        <f t="shared" si="67"/>
        <v>619.92389718820539</v>
      </c>
      <c r="U107">
        <f t="shared" si="67"/>
        <v>2533.9952022164875</v>
      </c>
      <c r="V107">
        <f t="shared" si="67"/>
        <v>-4.5474735088646412E-13</v>
      </c>
      <c r="W107">
        <f t="shared" si="67"/>
        <v>200370.27015518965</v>
      </c>
    </row>
    <row r="108" spans="2:23" x14ac:dyDescent="0.25">
      <c r="B108">
        <v>3</v>
      </c>
      <c r="C108">
        <f t="shared" ref="C108:W108" si="68">C58-C78-C88-C98</f>
        <v>42304.666666666664</v>
      </c>
      <c r="D108">
        <f t="shared" si="68"/>
        <v>17417.866666666669</v>
      </c>
      <c r="E108">
        <f t="shared" si="68"/>
        <v>37767.409866666661</v>
      </c>
      <c r="F108">
        <f t="shared" si="68"/>
        <v>13483.202861333333</v>
      </c>
      <c r="G108">
        <f t="shared" si="68"/>
        <v>3454.6787006044442</v>
      </c>
      <c r="H108">
        <f t="shared" si="68"/>
        <v>15508.16736812124</v>
      </c>
      <c r="I108">
        <f t="shared" si="68"/>
        <v>40172.262983663939</v>
      </c>
      <c r="J108">
        <f t="shared" si="68"/>
        <v>11890.040220132236</v>
      </c>
      <c r="K108">
        <f t="shared" si="68"/>
        <v>5345.9112462297471</v>
      </c>
      <c r="L108">
        <f t="shared" si="68"/>
        <v>11634.486827325058</v>
      </c>
      <c r="M108">
        <f t="shared" si="68"/>
        <v>23967.741359636995</v>
      </c>
      <c r="N108">
        <f t="shared" si="68"/>
        <v>57507.013118298913</v>
      </c>
      <c r="O108">
        <f t="shared" si="68"/>
        <v>12638.037217243114</v>
      </c>
      <c r="P108">
        <f t="shared" si="68"/>
        <v>7700.5629713899789</v>
      </c>
      <c r="Q108">
        <f t="shared" si="68"/>
        <v>8439.1149846489552</v>
      </c>
      <c r="R108">
        <f t="shared" si="68"/>
        <v>1408.861594912918</v>
      </c>
      <c r="S108">
        <f t="shared" si="68"/>
        <v>6334.9993385013368</v>
      </c>
      <c r="T108">
        <f t="shared" si="68"/>
        <v>738.00989094617364</v>
      </c>
      <c r="U108">
        <f t="shared" si="68"/>
        <v>3047.7822395131666</v>
      </c>
      <c r="V108">
        <f t="shared" si="68"/>
        <v>0</v>
      </c>
      <c r="W108">
        <f t="shared" si="68"/>
        <v>245991.50652868426</v>
      </c>
    </row>
    <row r="109" spans="2:23" x14ac:dyDescent="0.25">
      <c r="B109">
        <v>4</v>
      </c>
      <c r="C109">
        <f t="shared" ref="C109:W109" si="69">C59-C79-C89-C99</f>
        <v>42304.666666666664</v>
      </c>
      <c r="D109">
        <f t="shared" si="69"/>
        <v>17595.599999999999</v>
      </c>
      <c r="E109">
        <f t="shared" si="69"/>
        <v>38542.105799999976</v>
      </c>
      <c r="F109">
        <f t="shared" si="69"/>
        <v>13900.180040999994</v>
      </c>
      <c r="G109">
        <f t="shared" si="69"/>
        <v>3597.8589890099988</v>
      </c>
      <c r="H109">
        <f t="shared" si="69"/>
        <v>16315.7136238899</v>
      </c>
      <c r="I109">
        <f t="shared" si="69"/>
        <v>42695.392512996921</v>
      </c>
      <c r="J109">
        <f t="shared" si="69"/>
        <v>12765.774130567006</v>
      </c>
      <c r="K109">
        <f t="shared" si="69"/>
        <v>5798.2200782202372</v>
      </c>
      <c r="L109">
        <f t="shared" si="69"/>
        <v>12747.625679052266</v>
      </c>
      <c r="M109">
        <f t="shared" si="69"/>
        <v>26528.8423276166</v>
      </c>
      <c r="N109">
        <f t="shared" si="69"/>
        <v>64301.502226380733</v>
      </c>
      <c r="O109">
        <f t="shared" si="69"/>
        <v>14275.42533340419</v>
      </c>
      <c r="P109">
        <f t="shared" si="69"/>
        <v>8787.0080126322173</v>
      </c>
      <c r="Q109">
        <f t="shared" si="69"/>
        <v>9728.0225567619491</v>
      </c>
      <c r="R109">
        <f t="shared" si="69"/>
        <v>1640.6090924979535</v>
      </c>
      <c r="S109">
        <f t="shared" si="69"/>
        <v>7452.3368382983936</v>
      </c>
      <c r="T109">
        <f t="shared" si="69"/>
        <v>877.03556253856539</v>
      </c>
      <c r="U109">
        <f t="shared" si="69"/>
        <v>3658.8792252022704</v>
      </c>
      <c r="V109">
        <f t="shared" si="69"/>
        <v>-9.0949470177292824E-13</v>
      </c>
      <c r="W109">
        <f t="shared" si="69"/>
        <v>301371.71557563881</v>
      </c>
    </row>
    <row r="110" spans="2:23" x14ac:dyDescent="0.25">
      <c r="B110">
        <v>5</v>
      </c>
      <c r="C110">
        <f t="shared" ref="C110:W110" si="70">C60-C80-C90-C100</f>
        <v>42304.666666666664</v>
      </c>
      <c r="D110">
        <f t="shared" si="70"/>
        <v>17773.333333333332</v>
      </c>
      <c r="E110">
        <f t="shared" si="70"/>
        <v>39324.666666666664</v>
      </c>
      <c r="F110">
        <f t="shared" si="70"/>
        <v>14325.666666666662</v>
      </c>
      <c r="G110">
        <f t="shared" si="70"/>
        <v>3745.4444444444425</v>
      </c>
      <c r="H110">
        <f t="shared" si="70"/>
        <v>17156.555555555555</v>
      </c>
      <c r="I110">
        <f t="shared" si="70"/>
        <v>45349.222222222226</v>
      </c>
      <c r="J110">
        <f t="shared" si="70"/>
        <v>13696.222222222223</v>
      </c>
      <c r="K110">
        <f t="shared" si="70"/>
        <v>6283.666666666667</v>
      </c>
      <c r="L110">
        <f t="shared" si="70"/>
        <v>13954.44444444444</v>
      </c>
      <c r="M110">
        <f t="shared" si="70"/>
        <v>29333.666666666668</v>
      </c>
      <c r="N110">
        <f t="shared" si="70"/>
        <v>71818.111111111095</v>
      </c>
      <c r="O110">
        <f t="shared" si="70"/>
        <v>16105.222222222219</v>
      </c>
      <c r="P110">
        <f t="shared" si="70"/>
        <v>10013.444444444443</v>
      </c>
      <c r="Q110">
        <f t="shared" si="70"/>
        <v>11197.777777777783</v>
      </c>
      <c r="R110">
        <f t="shared" si="70"/>
        <v>1907.5555555555507</v>
      </c>
      <c r="S110">
        <f t="shared" si="70"/>
        <v>8752.4444444444489</v>
      </c>
      <c r="T110">
        <f t="shared" si="70"/>
        <v>1040.4444444444439</v>
      </c>
      <c r="U110">
        <f t="shared" si="70"/>
        <v>4384.4444444444453</v>
      </c>
      <c r="V110">
        <f t="shared" si="70"/>
        <v>-9.0949470177292824E-13</v>
      </c>
      <c r="W110">
        <f t="shared" si="70"/>
        <v>368467</v>
      </c>
    </row>
    <row r="111" spans="2:23" x14ac:dyDescent="0.25">
      <c r="B111">
        <v>6</v>
      </c>
      <c r="C111">
        <f t="shared" ref="C111:W111" si="71">C61-C81-C91-C101</f>
        <v>42304.666666666664</v>
      </c>
      <c r="D111">
        <f t="shared" si="71"/>
        <v>18484.266666666666</v>
      </c>
      <c r="E111">
        <f t="shared" si="71"/>
        <v>42407.720533333319</v>
      </c>
      <c r="F111">
        <f t="shared" si="71"/>
        <v>15976.900309333336</v>
      </c>
      <c r="G111">
        <f t="shared" si="71"/>
        <v>4309.7085343288882</v>
      </c>
      <c r="H111">
        <f t="shared" si="71"/>
        <v>20324.124126253504</v>
      </c>
      <c r="I111">
        <f t="shared" si="71"/>
        <v>55200.987493345048</v>
      </c>
      <c r="J111">
        <f t="shared" si="71"/>
        <v>17100.452795946621</v>
      </c>
      <c r="K111">
        <f t="shared" si="71"/>
        <v>8034.3616821919222</v>
      </c>
      <c r="L111">
        <f t="shared" si="71"/>
        <v>18244.961718267063</v>
      </c>
      <c r="M111">
        <f t="shared" si="71"/>
        <v>39165.354400037315</v>
      </c>
      <c r="N111">
        <f t="shared" si="71"/>
        <v>97799.079065168946</v>
      </c>
      <c r="O111">
        <f t="shared" si="71"/>
        <v>22342.617644924692</v>
      </c>
      <c r="P111">
        <f t="shared" si="71"/>
        <v>14136.967177921853</v>
      </c>
      <c r="Q111">
        <f t="shared" si="71"/>
        <v>16072.46928676129</v>
      </c>
      <c r="R111">
        <f t="shared" si="71"/>
        <v>2781.051225616427</v>
      </c>
      <c r="S111">
        <f t="shared" si="71"/>
        <v>12950.091202019175</v>
      </c>
      <c r="T111">
        <f t="shared" si="71"/>
        <v>1561.0965703206916</v>
      </c>
      <c r="U111">
        <f t="shared" si="71"/>
        <v>6666.0947095773763</v>
      </c>
      <c r="V111">
        <f t="shared" si="71"/>
        <v>-1.8189894035458565E-12</v>
      </c>
      <c r="W111">
        <f t="shared" si="71"/>
        <v>574070.68919575622</v>
      </c>
    </row>
    <row r="112" spans="2:23" x14ac:dyDescent="0.25">
      <c r="B112">
        <v>7</v>
      </c>
      <c r="C112">
        <f t="shared" ref="C112:W112" si="72">C62-C82-C92-C102</f>
        <v>42304.666666666664</v>
      </c>
      <c r="D112">
        <f t="shared" si="72"/>
        <v>18306.533333333333</v>
      </c>
      <c r="E112">
        <f t="shared" si="72"/>
        <v>41648.754466666636</v>
      </c>
      <c r="F112">
        <f t="shared" si="72"/>
        <v>15576.684159666669</v>
      </c>
      <c r="G112">
        <f t="shared" si="72"/>
        <v>4175.0738519677761</v>
      </c>
      <c r="H112">
        <f t="shared" si="72"/>
        <v>19580.193091743189</v>
      </c>
      <c r="I112">
        <f t="shared" si="72"/>
        <v>52923.811888029239</v>
      </c>
      <c r="J112">
        <f t="shared" si="72"/>
        <v>16326.131850578804</v>
      </c>
      <c r="K112">
        <f t="shared" si="72"/>
        <v>7642.5513104133288</v>
      </c>
      <c r="L112">
        <f t="shared" si="72"/>
        <v>17300.286815952571</v>
      </c>
      <c r="M112">
        <f t="shared" si="72"/>
        <v>37035.979803039809</v>
      </c>
      <c r="N112">
        <f t="shared" si="72"/>
        <v>92264.626577308794</v>
      </c>
      <c r="O112">
        <f t="shared" si="72"/>
        <v>21035.959033421579</v>
      </c>
      <c r="P112">
        <f t="shared" si="72"/>
        <v>13287.569511909805</v>
      </c>
      <c r="Q112">
        <f t="shared" si="72"/>
        <v>15085.239995280013</v>
      </c>
      <c r="R112">
        <f t="shared" si="72"/>
        <v>2607.1492872110603</v>
      </c>
      <c r="S112">
        <f t="shared" si="72"/>
        <v>12128.667912159706</v>
      </c>
      <c r="T112">
        <f t="shared" si="72"/>
        <v>1460.9649917006832</v>
      </c>
      <c r="U112">
        <f t="shared" si="72"/>
        <v>6234.8936866724016</v>
      </c>
      <c r="V112">
        <f t="shared" si="72"/>
        <v>-1.8189894035458565E-12</v>
      </c>
      <c r="W112">
        <f t="shared" si="72"/>
        <v>536563.72984481021</v>
      </c>
    </row>
    <row r="113" spans="2:23" x14ac:dyDescent="0.25">
      <c r="B113">
        <v>8</v>
      </c>
      <c r="C113">
        <f t="shared" ref="C113:W113" si="73">C63-C83-C93-C103</f>
        <v>42304.666666666664</v>
      </c>
      <c r="D113">
        <f t="shared" si="73"/>
        <v>18128.8</v>
      </c>
      <c r="E113">
        <f t="shared" si="73"/>
        <v>40881.923466666653</v>
      </c>
      <c r="F113">
        <f t="shared" si="73"/>
        <v>15168.130471999997</v>
      </c>
      <c r="G113">
        <f t="shared" si="73"/>
        <v>4036.2101882844427</v>
      </c>
      <c r="H113">
        <f t="shared" si="73"/>
        <v>18804.943742989864</v>
      </c>
      <c r="I113">
        <f t="shared" si="73"/>
        <v>50526.181460780506</v>
      </c>
      <c r="J113">
        <f t="shared" si="73"/>
        <v>15502.404224312198</v>
      </c>
      <c r="K113">
        <f t="shared" si="73"/>
        <v>7221.4220871035859</v>
      </c>
      <c r="L113">
        <f t="shared" si="73"/>
        <v>16274.402061563831</v>
      </c>
      <c r="M113">
        <f t="shared" si="73"/>
        <v>34699.591973696326</v>
      </c>
      <c r="N113">
        <f t="shared" si="73"/>
        <v>86129.209103923291</v>
      </c>
      <c r="O113">
        <f t="shared" si="73"/>
        <v>19572.407227201322</v>
      </c>
      <c r="P113">
        <f t="shared" si="73"/>
        <v>12326.325917498903</v>
      </c>
      <c r="Q113">
        <f t="shared" si="73"/>
        <v>13956.440570906596</v>
      </c>
      <c r="R113">
        <f t="shared" si="73"/>
        <v>2406.2495161981833</v>
      </c>
      <c r="S113">
        <f t="shared" si="73"/>
        <v>11169.889550387557</v>
      </c>
      <c r="T113">
        <f t="shared" si="73"/>
        <v>1342.8789979427152</v>
      </c>
      <c r="U113">
        <f t="shared" si="73"/>
        <v>5721.1066493757207</v>
      </c>
      <c r="V113">
        <f t="shared" si="73"/>
        <v>0</v>
      </c>
      <c r="W113">
        <f t="shared" si="73"/>
        <v>490942.49347131583</v>
      </c>
    </row>
    <row r="114" spans="2:23" x14ac:dyDescent="0.25">
      <c r="B114">
        <v>9</v>
      </c>
      <c r="C114">
        <f t="shared" ref="C114:W114" si="74">C64-C84-C94-C104</f>
        <v>42304.666666666664</v>
      </c>
      <c r="D114">
        <f t="shared" si="74"/>
        <v>17951.066666666669</v>
      </c>
      <c r="E114">
        <f t="shared" si="74"/>
        <v>40107.227533333338</v>
      </c>
      <c r="F114">
        <f t="shared" si="74"/>
        <v>14751.153292333336</v>
      </c>
      <c r="G114">
        <f t="shared" si="74"/>
        <v>3893.029899878888</v>
      </c>
      <c r="H114">
        <f t="shared" si="74"/>
        <v>17997.397487221217</v>
      </c>
      <c r="I114">
        <f t="shared" si="74"/>
        <v>48003.051931447539</v>
      </c>
      <c r="J114">
        <f t="shared" si="74"/>
        <v>14626.670313877445</v>
      </c>
      <c r="K114">
        <f t="shared" si="74"/>
        <v>6769.1132551130941</v>
      </c>
      <c r="L114">
        <f t="shared" si="74"/>
        <v>15161.263209836619</v>
      </c>
      <c r="M114">
        <f t="shared" si="74"/>
        <v>32138.491005716736</v>
      </c>
      <c r="N114">
        <f t="shared" si="74"/>
        <v>79334.719995841486</v>
      </c>
      <c r="O114">
        <f t="shared" si="74"/>
        <v>17935.019111040245</v>
      </c>
      <c r="P114">
        <f t="shared" si="74"/>
        <v>11239.88087625667</v>
      </c>
      <c r="Q114">
        <f t="shared" si="74"/>
        <v>12667.532998793595</v>
      </c>
      <c r="R114">
        <f t="shared" si="74"/>
        <v>2174.5020186131333</v>
      </c>
      <c r="S114">
        <f t="shared" si="74"/>
        <v>10052.552050590501</v>
      </c>
      <c r="T114">
        <f t="shared" si="74"/>
        <v>1203.8533263503239</v>
      </c>
      <c r="U114">
        <f t="shared" si="74"/>
        <v>5110.0096636866165</v>
      </c>
      <c r="V114">
        <f t="shared" si="74"/>
        <v>-1.8189894035458565E-12</v>
      </c>
      <c r="W114">
        <f t="shared" si="74"/>
        <v>435562.28442436131</v>
      </c>
    </row>
    <row r="115" spans="2:23" x14ac:dyDescent="0.25">
      <c r="C115" t="s">
        <v>47</v>
      </c>
    </row>
    <row r="116" spans="2:23" x14ac:dyDescent="0.25">
      <c r="B116">
        <v>1</v>
      </c>
      <c r="C116" s="3">
        <f>C106/C66</f>
        <v>0.47846275452051557</v>
      </c>
      <c r="D116" s="3">
        <f t="shared" ref="D116:W116" si="75">D106/D66</f>
        <v>0.3618750721103271</v>
      </c>
      <c r="E116" s="3">
        <f t="shared" si="75"/>
        <v>9.389405567393648E-2</v>
      </c>
      <c r="F116" s="3">
        <f t="shared" si="75"/>
        <v>0.36024711089254974</v>
      </c>
      <c r="G116" s="3">
        <f t="shared" si="75"/>
        <v>0.34807166090144037</v>
      </c>
      <c r="H116" s="3">
        <f t="shared" si="75"/>
        <v>0.25209591494544503</v>
      </c>
      <c r="I116" s="3">
        <f t="shared" si="75"/>
        <v>0.2905861018930605</v>
      </c>
      <c r="J116" s="3">
        <f t="shared" si="75"/>
        <v>0.1960022324658412</v>
      </c>
      <c r="K116" s="3">
        <f t="shared" si="75"/>
        <v>0.2153079444607307</v>
      </c>
      <c r="L116" s="3">
        <f t="shared" si="75"/>
        <v>0.28828320111649763</v>
      </c>
      <c r="M116" s="3">
        <f t="shared" si="75"/>
        <v>0.376661249844843</v>
      </c>
      <c r="N116" s="3">
        <f t="shared" si="75"/>
        <v>0.90828392804697944</v>
      </c>
      <c r="O116" s="3">
        <f t="shared" si="75"/>
        <v>0.33232148384212379</v>
      </c>
      <c r="P116" s="3">
        <f t="shared" si="75"/>
        <v>0.23378176460211883</v>
      </c>
      <c r="Q116" s="3">
        <f t="shared" si="75"/>
        <v>0.11096528123389698</v>
      </c>
      <c r="R116" s="3">
        <f t="shared" si="75"/>
        <v>3.2759232615739077E-2</v>
      </c>
      <c r="S116" s="3">
        <f t="shared" si="75"/>
        <v>0.1400229306835655</v>
      </c>
      <c r="T116" s="3">
        <f t="shared" si="75"/>
        <v>0.23826365741329744</v>
      </c>
      <c r="U116" s="3">
        <f t="shared" si="75"/>
        <v>0.22912686753494102</v>
      </c>
      <c r="V116" s="3">
        <f t="shared" si="75"/>
        <v>-1.4946245481270048E-16</v>
      </c>
      <c r="W116" s="3">
        <f t="shared" si="75"/>
        <v>0.24922241129867367</v>
      </c>
    </row>
    <row r="117" spans="2:23" x14ac:dyDescent="0.25">
      <c r="B117">
        <v>2</v>
      </c>
      <c r="C117" s="3">
        <f t="shared" ref="C117:W117" si="76">C107/C67</f>
        <v>0.47846275452051557</v>
      </c>
      <c r="D117" s="3">
        <f t="shared" si="76"/>
        <v>0.3618750721103271</v>
      </c>
      <c r="E117" s="3">
        <f t="shared" si="76"/>
        <v>9.3894055673936508E-2</v>
      </c>
      <c r="F117" s="3">
        <f t="shared" si="76"/>
        <v>0.36024711089254974</v>
      </c>
      <c r="G117" s="3">
        <f t="shared" si="76"/>
        <v>0.34807166090144037</v>
      </c>
      <c r="H117" s="3">
        <f t="shared" si="76"/>
        <v>0.25209591494544492</v>
      </c>
      <c r="I117" s="3">
        <f t="shared" si="76"/>
        <v>0.2905861018930605</v>
      </c>
      <c r="J117" s="3">
        <f t="shared" si="76"/>
        <v>0.19600223246584123</v>
      </c>
      <c r="K117" s="3">
        <f t="shared" si="76"/>
        <v>0.21530794446073082</v>
      </c>
      <c r="L117" s="3">
        <f t="shared" si="76"/>
        <v>0.28828320111649774</v>
      </c>
      <c r="M117" s="3">
        <f t="shared" si="76"/>
        <v>0.376661249844843</v>
      </c>
      <c r="N117" s="3">
        <f t="shared" si="76"/>
        <v>0.90828392804697933</v>
      </c>
      <c r="O117" s="3">
        <f t="shared" si="76"/>
        <v>0.33232148384212384</v>
      </c>
      <c r="P117" s="3">
        <f t="shared" si="76"/>
        <v>0.23378176460211889</v>
      </c>
      <c r="Q117" s="3">
        <f t="shared" si="76"/>
        <v>0.11096528123389686</v>
      </c>
      <c r="R117" s="3">
        <f t="shared" si="76"/>
        <v>3.2759232615739167E-2</v>
      </c>
      <c r="S117" s="3">
        <f t="shared" si="76"/>
        <v>0.14002293068356547</v>
      </c>
      <c r="T117" s="3">
        <f t="shared" si="76"/>
        <v>0.23826365741329741</v>
      </c>
      <c r="U117" s="3">
        <f t="shared" si="76"/>
        <v>0.22912686753494099</v>
      </c>
      <c r="V117" s="3">
        <f t="shared" si="76"/>
        <v>-1.2275030719006842E-16</v>
      </c>
      <c r="W117" s="3">
        <f t="shared" si="76"/>
        <v>0.24922241129867365</v>
      </c>
    </row>
    <row r="118" spans="2:23" x14ac:dyDescent="0.25">
      <c r="B118">
        <v>3</v>
      </c>
      <c r="C118" s="3">
        <f t="shared" ref="C118:W118" si="77">C108/C68</f>
        <v>0.47846275452051557</v>
      </c>
      <c r="D118" s="3">
        <f t="shared" si="77"/>
        <v>0.36187507211032716</v>
      </c>
      <c r="E118" s="3">
        <f t="shared" si="77"/>
        <v>9.389405567393648E-2</v>
      </c>
      <c r="F118" s="3">
        <f t="shared" si="77"/>
        <v>0.36024711089254979</v>
      </c>
      <c r="G118" s="3">
        <f t="shared" si="77"/>
        <v>0.34807166090144043</v>
      </c>
      <c r="H118" s="3">
        <f t="shared" si="77"/>
        <v>0.25209591494544492</v>
      </c>
      <c r="I118" s="3">
        <f t="shared" si="77"/>
        <v>0.29058610189306044</v>
      </c>
      <c r="J118" s="3">
        <f t="shared" si="77"/>
        <v>0.19600223246584114</v>
      </c>
      <c r="K118" s="3">
        <f t="shared" si="77"/>
        <v>0.21530794446073079</v>
      </c>
      <c r="L118" s="3">
        <f t="shared" si="77"/>
        <v>0.28828320111649774</v>
      </c>
      <c r="M118" s="3">
        <f t="shared" si="77"/>
        <v>0.37666124984484295</v>
      </c>
      <c r="N118" s="3">
        <f t="shared" si="77"/>
        <v>0.90828392804697944</v>
      </c>
      <c r="O118" s="3">
        <f t="shared" si="77"/>
        <v>0.33232148384212395</v>
      </c>
      <c r="P118" s="3">
        <f t="shared" si="77"/>
        <v>0.23378176460211886</v>
      </c>
      <c r="Q118" s="3">
        <f t="shared" si="77"/>
        <v>0.11096528123389694</v>
      </c>
      <c r="R118" s="3">
        <f t="shared" si="77"/>
        <v>3.2759232615739167E-2</v>
      </c>
      <c r="S118" s="3">
        <f t="shared" si="77"/>
        <v>0.14002293068356539</v>
      </c>
      <c r="T118" s="3">
        <f t="shared" si="77"/>
        <v>0.2382636574132973</v>
      </c>
      <c r="U118" s="3">
        <f t="shared" si="77"/>
        <v>0.22912686753494091</v>
      </c>
      <c r="V118" s="3">
        <f t="shared" si="77"/>
        <v>0</v>
      </c>
      <c r="W118" s="3">
        <f t="shared" si="77"/>
        <v>0.24922241129867365</v>
      </c>
    </row>
    <row r="119" spans="2:23" x14ac:dyDescent="0.25">
      <c r="B119">
        <v>4</v>
      </c>
      <c r="C119" s="3">
        <f t="shared" ref="C119:W119" si="78">C109/C69</f>
        <v>0.47846275452051557</v>
      </c>
      <c r="D119" s="3">
        <f t="shared" si="78"/>
        <v>0.3618750721103271</v>
      </c>
      <c r="E119" s="3">
        <f t="shared" si="78"/>
        <v>9.3894055673936438E-2</v>
      </c>
      <c r="F119" s="3">
        <f t="shared" si="78"/>
        <v>0.36024711089254974</v>
      </c>
      <c r="G119" s="3">
        <f t="shared" si="78"/>
        <v>0.34807166090144043</v>
      </c>
      <c r="H119" s="3">
        <f t="shared" si="78"/>
        <v>0.25209591494544503</v>
      </c>
      <c r="I119" s="3">
        <f t="shared" si="78"/>
        <v>0.29058610189306056</v>
      </c>
      <c r="J119" s="3">
        <f t="shared" si="78"/>
        <v>0.19600223246584128</v>
      </c>
      <c r="K119" s="3">
        <f t="shared" si="78"/>
        <v>0.2153079444607307</v>
      </c>
      <c r="L119" s="3">
        <f t="shared" si="78"/>
        <v>0.28828320111649763</v>
      </c>
      <c r="M119" s="3">
        <f t="shared" si="78"/>
        <v>0.37666124984484317</v>
      </c>
      <c r="N119" s="3">
        <f t="shared" si="78"/>
        <v>0.90828392804697944</v>
      </c>
      <c r="O119" s="3">
        <f t="shared" si="78"/>
        <v>0.3323214838421239</v>
      </c>
      <c r="P119" s="3">
        <f t="shared" si="78"/>
        <v>0.23378176460211883</v>
      </c>
      <c r="Q119" s="3">
        <f t="shared" si="78"/>
        <v>0.11096528123389687</v>
      </c>
      <c r="R119" s="3">
        <f t="shared" si="78"/>
        <v>3.2759232615739126E-2</v>
      </c>
      <c r="S119" s="3">
        <f t="shared" si="78"/>
        <v>0.1400229306835655</v>
      </c>
      <c r="T119" s="3">
        <f t="shared" si="78"/>
        <v>0.23826365741329739</v>
      </c>
      <c r="U119" s="3">
        <f t="shared" si="78"/>
        <v>0.22912686753494094</v>
      </c>
      <c r="V119" s="3">
        <f t="shared" si="78"/>
        <v>-1.665891978516955E-16</v>
      </c>
      <c r="W119" s="3">
        <f t="shared" si="78"/>
        <v>0.2492224112986737</v>
      </c>
    </row>
    <row r="120" spans="2:23" x14ac:dyDescent="0.25">
      <c r="B120">
        <v>5</v>
      </c>
      <c r="C120" s="3">
        <f t="shared" ref="C120:W120" si="79">C110/C70</f>
        <v>0.47846275452051557</v>
      </c>
      <c r="D120" s="3">
        <f t="shared" si="79"/>
        <v>0.3618750721103271</v>
      </c>
      <c r="E120" s="3">
        <f t="shared" si="79"/>
        <v>9.3894055673936494E-2</v>
      </c>
      <c r="F120" s="3">
        <f t="shared" si="79"/>
        <v>0.36024711089254974</v>
      </c>
      <c r="G120" s="3">
        <f t="shared" si="79"/>
        <v>0.34807166090144032</v>
      </c>
      <c r="H120" s="3">
        <f t="shared" si="79"/>
        <v>0.25209591494544503</v>
      </c>
      <c r="I120" s="3">
        <f t="shared" si="79"/>
        <v>0.2905861018930605</v>
      </c>
      <c r="J120" s="3">
        <f t="shared" si="79"/>
        <v>0.1960022324658412</v>
      </c>
      <c r="K120" s="3">
        <f t="shared" si="79"/>
        <v>0.21530794446073076</v>
      </c>
      <c r="L120" s="3">
        <f t="shared" si="79"/>
        <v>0.28828320111649763</v>
      </c>
      <c r="M120" s="3">
        <f t="shared" si="79"/>
        <v>0.37666124984484306</v>
      </c>
      <c r="N120" s="3">
        <f t="shared" si="79"/>
        <v>0.90828392804697922</v>
      </c>
      <c r="O120" s="3">
        <f t="shared" si="79"/>
        <v>0.33232148384212395</v>
      </c>
      <c r="P120" s="3">
        <f t="shared" si="79"/>
        <v>0.23378176460211883</v>
      </c>
      <c r="Q120" s="3">
        <f t="shared" si="79"/>
        <v>0.11096528123389698</v>
      </c>
      <c r="R120" s="3">
        <f t="shared" si="79"/>
        <v>3.2759232615739153E-2</v>
      </c>
      <c r="S120" s="3">
        <f t="shared" si="79"/>
        <v>0.14002293068356553</v>
      </c>
      <c r="T120" s="3">
        <f t="shared" si="79"/>
        <v>0.23826365741329728</v>
      </c>
      <c r="U120" s="3">
        <f t="shared" si="79"/>
        <v>0.22912686753494105</v>
      </c>
      <c r="V120" s="3">
        <f t="shared" si="79"/>
        <v>-1.376307683350095E-16</v>
      </c>
      <c r="W120" s="3">
        <f t="shared" si="79"/>
        <v>0.24922241129867365</v>
      </c>
    </row>
    <row r="121" spans="2:23" x14ac:dyDescent="0.25">
      <c r="B121">
        <v>6</v>
      </c>
      <c r="C121" s="3">
        <f t="shared" ref="C121:W121" si="80">C111/C71</f>
        <v>0.47846275452051557</v>
      </c>
      <c r="D121" s="3">
        <f t="shared" si="80"/>
        <v>0.3618750721103271</v>
      </c>
      <c r="E121" s="3">
        <f t="shared" si="80"/>
        <v>9.3894055673936452E-2</v>
      </c>
      <c r="F121" s="3">
        <f t="shared" si="80"/>
        <v>0.36024711089254985</v>
      </c>
      <c r="G121" s="3">
        <f t="shared" si="80"/>
        <v>0.34807166090144037</v>
      </c>
      <c r="H121" s="3">
        <f t="shared" si="80"/>
        <v>0.25209591494544492</v>
      </c>
      <c r="I121" s="3">
        <f t="shared" si="80"/>
        <v>0.29058610189306044</v>
      </c>
      <c r="J121" s="3">
        <f t="shared" si="80"/>
        <v>0.19600223246584125</v>
      </c>
      <c r="K121" s="3">
        <f t="shared" si="80"/>
        <v>0.21530794446073084</v>
      </c>
      <c r="L121" s="3">
        <f t="shared" si="80"/>
        <v>0.28828320111649774</v>
      </c>
      <c r="M121" s="3">
        <f t="shared" si="80"/>
        <v>0.376661249844843</v>
      </c>
      <c r="N121" s="3">
        <f t="shared" si="80"/>
        <v>0.90828392804697944</v>
      </c>
      <c r="O121" s="3">
        <f t="shared" si="80"/>
        <v>0.33232148384212395</v>
      </c>
      <c r="P121" s="3">
        <f t="shared" si="80"/>
        <v>0.23378176460211883</v>
      </c>
      <c r="Q121" s="3">
        <f t="shared" si="80"/>
        <v>0.1109652812338969</v>
      </c>
      <c r="R121" s="3">
        <f t="shared" si="80"/>
        <v>3.2759232615739139E-2</v>
      </c>
      <c r="S121" s="3">
        <f t="shared" si="80"/>
        <v>0.14002293068356542</v>
      </c>
      <c r="T121" s="3">
        <f t="shared" si="80"/>
        <v>0.23826365741329736</v>
      </c>
      <c r="U121" s="3">
        <f t="shared" si="80"/>
        <v>0.22912686753494102</v>
      </c>
      <c r="V121" s="3">
        <f t="shared" si="80"/>
        <v>-1.7878992581619548E-16</v>
      </c>
      <c r="W121" s="3">
        <f t="shared" si="80"/>
        <v>0.24922241129867362</v>
      </c>
    </row>
    <row r="122" spans="2:23" x14ac:dyDescent="0.25">
      <c r="B122">
        <v>7</v>
      </c>
      <c r="C122" s="3">
        <f t="shared" ref="C122:W122" si="81">C112/C72</f>
        <v>0.47846275452051557</v>
      </c>
      <c r="D122" s="3">
        <f t="shared" si="81"/>
        <v>0.3618750721103271</v>
      </c>
      <c r="E122" s="3">
        <f t="shared" si="81"/>
        <v>9.3894055673936411E-2</v>
      </c>
      <c r="F122" s="3">
        <f t="shared" si="81"/>
        <v>0.36024711089254979</v>
      </c>
      <c r="G122" s="3">
        <f t="shared" si="81"/>
        <v>0.34807166090144032</v>
      </c>
      <c r="H122" s="3">
        <f t="shared" si="81"/>
        <v>0.25209591494544498</v>
      </c>
      <c r="I122" s="3">
        <f t="shared" si="81"/>
        <v>0.29058610189306044</v>
      </c>
      <c r="J122" s="3">
        <f t="shared" si="81"/>
        <v>0.1960022324658412</v>
      </c>
      <c r="K122" s="3">
        <f t="shared" si="81"/>
        <v>0.2153079444607307</v>
      </c>
      <c r="L122" s="3">
        <f t="shared" si="81"/>
        <v>0.28828320111649769</v>
      </c>
      <c r="M122" s="3">
        <f t="shared" si="81"/>
        <v>0.376661249844843</v>
      </c>
      <c r="N122" s="3">
        <f t="shared" si="81"/>
        <v>0.90828392804697933</v>
      </c>
      <c r="O122" s="3">
        <f t="shared" si="81"/>
        <v>0.33232148384212384</v>
      </c>
      <c r="P122" s="3">
        <f t="shared" si="81"/>
        <v>0.23378176460211883</v>
      </c>
      <c r="Q122" s="3">
        <f t="shared" si="81"/>
        <v>0.11096528123389705</v>
      </c>
      <c r="R122" s="3">
        <f t="shared" si="81"/>
        <v>3.2759232615739146E-2</v>
      </c>
      <c r="S122" s="3">
        <f t="shared" si="81"/>
        <v>0.14002293068356544</v>
      </c>
      <c r="T122" s="3">
        <f t="shared" si="81"/>
        <v>0.23826365741329736</v>
      </c>
      <c r="U122" s="3">
        <f t="shared" si="81"/>
        <v>0.22912686753494099</v>
      </c>
      <c r="V122" s="3">
        <f t="shared" si="81"/>
        <v>-1.9123521611394661E-16</v>
      </c>
      <c r="W122" s="3">
        <f t="shared" si="81"/>
        <v>0.24922241129867362</v>
      </c>
    </row>
    <row r="123" spans="2:23" x14ac:dyDescent="0.25">
      <c r="B123">
        <v>8</v>
      </c>
      <c r="C123" s="3">
        <f t="shared" ref="C123:W123" si="82">C113/C73</f>
        <v>0.47846275452051557</v>
      </c>
      <c r="D123" s="3">
        <f t="shared" si="82"/>
        <v>0.3618750721103271</v>
      </c>
      <c r="E123" s="3">
        <f t="shared" si="82"/>
        <v>9.3894055673936452E-2</v>
      </c>
      <c r="F123" s="3">
        <f t="shared" si="82"/>
        <v>0.36024711089254974</v>
      </c>
      <c r="G123" s="3">
        <f t="shared" si="82"/>
        <v>0.34807166090144032</v>
      </c>
      <c r="H123" s="3">
        <f t="shared" si="82"/>
        <v>0.25209591494544498</v>
      </c>
      <c r="I123" s="3">
        <f t="shared" si="82"/>
        <v>0.29058610189306056</v>
      </c>
      <c r="J123" s="3">
        <f t="shared" si="82"/>
        <v>0.19600223246584117</v>
      </c>
      <c r="K123" s="3">
        <f t="shared" si="82"/>
        <v>0.21530794446073073</v>
      </c>
      <c r="L123" s="3">
        <f t="shared" si="82"/>
        <v>0.28828320111649774</v>
      </c>
      <c r="M123" s="3">
        <f t="shared" si="82"/>
        <v>0.37666124984484295</v>
      </c>
      <c r="N123" s="3">
        <f t="shared" si="82"/>
        <v>0.90828392804697933</v>
      </c>
      <c r="O123" s="3">
        <f t="shared" si="82"/>
        <v>0.33232148384212384</v>
      </c>
      <c r="P123" s="3">
        <f t="shared" si="82"/>
        <v>0.23378176460211875</v>
      </c>
      <c r="Q123" s="3">
        <f t="shared" si="82"/>
        <v>0.11096528123389689</v>
      </c>
      <c r="R123" s="3">
        <f t="shared" si="82"/>
        <v>3.2759232615739153E-2</v>
      </c>
      <c r="S123" s="3">
        <f t="shared" si="82"/>
        <v>0.14002293068356556</v>
      </c>
      <c r="T123" s="3">
        <f t="shared" si="82"/>
        <v>0.23826365741329741</v>
      </c>
      <c r="U123" s="3">
        <f t="shared" si="82"/>
        <v>0.22912686753494099</v>
      </c>
      <c r="V123" s="3">
        <f t="shared" si="82"/>
        <v>0</v>
      </c>
      <c r="W123" s="3">
        <f t="shared" si="82"/>
        <v>0.2492224112986737</v>
      </c>
    </row>
    <row r="124" spans="2:23" x14ac:dyDescent="0.25">
      <c r="B124">
        <v>9</v>
      </c>
      <c r="C124" s="3">
        <f t="shared" ref="C124:W124" si="83">C114/C74</f>
        <v>0.47846275452051557</v>
      </c>
      <c r="D124" s="3">
        <f t="shared" si="83"/>
        <v>0.36187507211032716</v>
      </c>
      <c r="E124" s="3">
        <f t="shared" si="83"/>
        <v>9.3894055673936494E-2</v>
      </c>
      <c r="F124" s="3">
        <f t="shared" si="83"/>
        <v>0.36024711089254985</v>
      </c>
      <c r="G124" s="3">
        <f t="shared" si="83"/>
        <v>0.34807166090144032</v>
      </c>
      <c r="H124" s="3">
        <f t="shared" si="83"/>
        <v>0.25209591494544503</v>
      </c>
      <c r="I124" s="3">
        <f t="shared" si="83"/>
        <v>0.29058610189306056</v>
      </c>
      <c r="J124" s="3">
        <f t="shared" si="83"/>
        <v>0.19600223246584123</v>
      </c>
      <c r="K124" s="3">
        <f t="shared" si="83"/>
        <v>0.21530794446073076</v>
      </c>
      <c r="L124" s="3">
        <f t="shared" si="83"/>
        <v>0.28828320111649774</v>
      </c>
      <c r="M124" s="3">
        <f t="shared" si="83"/>
        <v>0.376661249844843</v>
      </c>
      <c r="N124" s="3">
        <f t="shared" si="83"/>
        <v>0.90828392804697933</v>
      </c>
      <c r="O124" s="3">
        <f t="shared" si="83"/>
        <v>0.33232148384212384</v>
      </c>
      <c r="P124" s="3">
        <f t="shared" si="83"/>
        <v>0.23378176460211886</v>
      </c>
      <c r="Q124" s="3">
        <f t="shared" si="83"/>
        <v>0.1109652812338969</v>
      </c>
      <c r="R124" s="3">
        <f t="shared" si="83"/>
        <v>3.2759232615738966E-2</v>
      </c>
      <c r="S124" s="3">
        <f t="shared" si="83"/>
        <v>0.14002293068356547</v>
      </c>
      <c r="T124" s="3">
        <f t="shared" si="83"/>
        <v>0.23826365741329744</v>
      </c>
      <c r="U124" s="3">
        <f t="shared" si="83"/>
        <v>0.22912686753494096</v>
      </c>
      <c r="V124" s="3">
        <f t="shared" si="83"/>
        <v>-2.3449836344420927E-16</v>
      </c>
      <c r="W124" s="3">
        <f t="shared" si="83"/>
        <v>0.24922241129867367</v>
      </c>
    </row>
    <row r="125" spans="2:23" x14ac:dyDescent="0.25">
      <c r="C125" t="s">
        <v>54</v>
      </c>
    </row>
    <row r="126" spans="2:23" x14ac:dyDescent="0.25">
      <c r="B126">
        <v>1</v>
      </c>
      <c r="C126" s="3">
        <f>(C96+C86+C76)/C66</f>
        <v>0.52153724547948443</v>
      </c>
      <c r="D126" s="3">
        <f t="shared" ref="D126:W134" si="84">(D96+D86+D76)/D66</f>
        <v>0.6381249278896729</v>
      </c>
      <c r="E126" s="3">
        <f t="shared" si="84"/>
        <v>0.90610594432606351</v>
      </c>
      <c r="F126" s="3">
        <f t="shared" si="84"/>
        <v>0.63975288910745021</v>
      </c>
      <c r="G126" s="3">
        <f t="shared" si="84"/>
        <v>0.65192833909855963</v>
      </c>
      <c r="H126" s="3">
        <f t="shared" si="84"/>
        <v>0.74790408505455497</v>
      </c>
      <c r="I126" s="3">
        <f t="shared" si="84"/>
        <v>0.70941389810693956</v>
      </c>
      <c r="J126" s="3">
        <f t="shared" si="84"/>
        <v>0.80399776753415875</v>
      </c>
      <c r="K126" s="3">
        <f t="shared" si="84"/>
        <v>0.78469205553926935</v>
      </c>
      <c r="L126" s="3">
        <f t="shared" si="84"/>
        <v>0.71171679888350237</v>
      </c>
      <c r="M126" s="3">
        <f t="shared" si="84"/>
        <v>0.62333875015515694</v>
      </c>
      <c r="N126" s="3">
        <f t="shared" si="84"/>
        <v>9.1716071953020589E-2</v>
      </c>
      <c r="O126" s="3">
        <f t="shared" si="84"/>
        <v>0.66767851615787632</v>
      </c>
      <c r="P126" s="3">
        <f t="shared" si="84"/>
        <v>0.76621823539788114</v>
      </c>
      <c r="Q126" s="3">
        <f t="shared" si="84"/>
        <v>0.88903471876610307</v>
      </c>
      <c r="R126" s="3">
        <f t="shared" si="84"/>
        <v>0.96724076738426101</v>
      </c>
      <c r="S126" s="3">
        <f t="shared" si="84"/>
        <v>0.85997706931643447</v>
      </c>
      <c r="T126" s="3">
        <f t="shared" si="84"/>
        <v>0.76173634258670264</v>
      </c>
      <c r="U126" s="3">
        <f t="shared" si="84"/>
        <v>0.77087313246505906</v>
      </c>
      <c r="V126" s="3">
        <f t="shared" si="84"/>
        <v>1.0000000000000002</v>
      </c>
      <c r="W126" s="3">
        <f t="shared" si="84"/>
        <v>0.75077758870132627</v>
      </c>
    </row>
    <row r="127" spans="2:23" x14ac:dyDescent="0.25">
      <c r="B127">
        <v>2</v>
      </c>
      <c r="C127" s="3">
        <f t="shared" ref="C127:R134" si="85">(C97+C87+C77)/C67</f>
        <v>0.52153724547948443</v>
      </c>
      <c r="D127" s="3">
        <f t="shared" si="85"/>
        <v>0.6381249278896729</v>
      </c>
      <c r="E127" s="3">
        <f t="shared" si="85"/>
        <v>0.90610594432606351</v>
      </c>
      <c r="F127" s="3">
        <f t="shared" si="85"/>
        <v>0.63975288910745021</v>
      </c>
      <c r="G127" s="3">
        <f t="shared" si="85"/>
        <v>0.65192833909855974</v>
      </c>
      <c r="H127" s="3">
        <f t="shared" si="85"/>
        <v>0.74790408505455508</v>
      </c>
      <c r="I127" s="3">
        <f t="shared" si="85"/>
        <v>0.70941389810693944</v>
      </c>
      <c r="J127" s="3">
        <f t="shared" si="85"/>
        <v>0.80399776753415875</v>
      </c>
      <c r="K127" s="3">
        <f t="shared" si="85"/>
        <v>0.78469205553926913</v>
      </c>
      <c r="L127" s="3">
        <f t="shared" si="85"/>
        <v>0.71171679888350226</v>
      </c>
      <c r="M127" s="3">
        <f t="shared" si="85"/>
        <v>0.62333875015515694</v>
      </c>
      <c r="N127" s="3">
        <f t="shared" si="85"/>
        <v>9.1716071953020603E-2</v>
      </c>
      <c r="O127" s="3">
        <f t="shared" si="85"/>
        <v>0.66767851615787621</v>
      </c>
      <c r="P127" s="3">
        <f t="shared" si="85"/>
        <v>0.76621823539788103</v>
      </c>
      <c r="Q127" s="3">
        <f t="shared" si="85"/>
        <v>0.88903471876610307</v>
      </c>
      <c r="R127" s="3">
        <f t="shared" si="85"/>
        <v>0.96724076738426079</v>
      </c>
      <c r="S127" s="3">
        <f t="shared" si="84"/>
        <v>0.85997706931643469</v>
      </c>
      <c r="T127" s="3">
        <f t="shared" si="84"/>
        <v>0.76173634258670253</v>
      </c>
      <c r="U127" s="3">
        <f t="shared" si="84"/>
        <v>0.77087313246505906</v>
      </c>
      <c r="V127" s="3">
        <f t="shared" si="84"/>
        <v>1.0000000000000002</v>
      </c>
      <c r="W127" s="3">
        <f t="shared" si="84"/>
        <v>0.75077758870132638</v>
      </c>
    </row>
    <row r="128" spans="2:23" x14ac:dyDescent="0.25">
      <c r="B128">
        <v>3</v>
      </c>
      <c r="C128" s="3">
        <f t="shared" si="85"/>
        <v>0.52153724547948443</v>
      </c>
      <c r="D128" s="3">
        <f t="shared" si="84"/>
        <v>0.6381249278896729</v>
      </c>
      <c r="E128" s="3">
        <f t="shared" si="84"/>
        <v>0.90610594432606351</v>
      </c>
      <c r="F128" s="3">
        <f t="shared" si="84"/>
        <v>0.63975288910745021</v>
      </c>
      <c r="G128" s="3">
        <f t="shared" si="84"/>
        <v>0.65192833909855963</v>
      </c>
      <c r="H128" s="3">
        <f t="shared" si="84"/>
        <v>0.74790408505455508</v>
      </c>
      <c r="I128" s="3">
        <f t="shared" si="84"/>
        <v>0.70941389810693956</v>
      </c>
      <c r="J128" s="3">
        <f t="shared" si="84"/>
        <v>0.80399776753415886</v>
      </c>
      <c r="K128" s="3">
        <f t="shared" si="84"/>
        <v>0.78469205553926913</v>
      </c>
      <c r="L128" s="3">
        <f t="shared" si="84"/>
        <v>0.71171679888350226</v>
      </c>
      <c r="M128" s="3">
        <f t="shared" si="84"/>
        <v>0.62333875015515705</v>
      </c>
      <c r="N128" s="3">
        <f t="shared" si="84"/>
        <v>9.1716071953020589E-2</v>
      </c>
      <c r="O128" s="3">
        <f t="shared" si="84"/>
        <v>0.66767851615787599</v>
      </c>
      <c r="P128" s="3">
        <f t="shared" si="84"/>
        <v>0.76621823539788125</v>
      </c>
      <c r="Q128" s="3">
        <f t="shared" si="84"/>
        <v>0.88903471876610307</v>
      </c>
      <c r="R128" s="3">
        <f t="shared" si="84"/>
        <v>0.9672407673842609</v>
      </c>
      <c r="S128" s="3">
        <f t="shared" si="84"/>
        <v>0.85997706931643458</v>
      </c>
      <c r="T128" s="3">
        <f t="shared" si="84"/>
        <v>0.76173634258670275</v>
      </c>
      <c r="U128" s="3">
        <f t="shared" si="84"/>
        <v>0.77087313246505906</v>
      </c>
      <c r="V128" s="3">
        <f t="shared" si="84"/>
        <v>1</v>
      </c>
      <c r="W128" s="3">
        <f t="shared" si="84"/>
        <v>0.75077758870132638</v>
      </c>
    </row>
    <row r="129" spans="2:23" x14ac:dyDescent="0.25">
      <c r="B129">
        <v>4</v>
      </c>
      <c r="C129" s="3">
        <f t="shared" si="85"/>
        <v>0.52153724547948443</v>
      </c>
      <c r="D129" s="3">
        <f t="shared" si="84"/>
        <v>0.6381249278896729</v>
      </c>
      <c r="E129" s="3">
        <f t="shared" si="84"/>
        <v>0.90610594432606362</v>
      </c>
      <c r="F129" s="3">
        <f t="shared" si="84"/>
        <v>0.63975288910745021</v>
      </c>
      <c r="G129" s="3">
        <f t="shared" si="84"/>
        <v>0.65192833909855952</v>
      </c>
      <c r="H129" s="3">
        <f t="shared" si="84"/>
        <v>0.74790408505455497</v>
      </c>
      <c r="I129" s="3">
        <f t="shared" si="84"/>
        <v>0.70941389810693956</v>
      </c>
      <c r="J129" s="3">
        <f t="shared" si="84"/>
        <v>0.80399776753415875</v>
      </c>
      <c r="K129" s="3">
        <f t="shared" si="84"/>
        <v>0.78469205553926924</v>
      </c>
      <c r="L129" s="3">
        <f t="shared" si="84"/>
        <v>0.71171679888350237</v>
      </c>
      <c r="M129" s="3">
        <f t="shared" si="84"/>
        <v>0.62333875015515683</v>
      </c>
      <c r="N129" s="3">
        <f t="shared" si="84"/>
        <v>9.1716071953020589E-2</v>
      </c>
      <c r="O129" s="3">
        <f t="shared" si="84"/>
        <v>0.6676785161578761</v>
      </c>
      <c r="P129" s="3">
        <f t="shared" si="84"/>
        <v>0.76621823539788103</v>
      </c>
      <c r="Q129" s="3">
        <f t="shared" si="84"/>
        <v>0.88903471876610307</v>
      </c>
      <c r="R129" s="3">
        <f t="shared" si="84"/>
        <v>0.9672407673842609</v>
      </c>
      <c r="S129" s="3">
        <f t="shared" si="84"/>
        <v>0.85997706931643458</v>
      </c>
      <c r="T129" s="3">
        <f t="shared" si="84"/>
        <v>0.76173634258670253</v>
      </c>
      <c r="U129" s="3">
        <f t="shared" si="84"/>
        <v>0.77087313246505906</v>
      </c>
      <c r="V129" s="3">
        <f t="shared" si="84"/>
        <v>1.0000000000000002</v>
      </c>
      <c r="W129" s="3">
        <f t="shared" si="84"/>
        <v>0.75077758870132627</v>
      </c>
    </row>
    <row r="130" spans="2:23" x14ac:dyDescent="0.25">
      <c r="B130">
        <v>5</v>
      </c>
      <c r="C130" s="3">
        <f t="shared" si="85"/>
        <v>0.52153724547948443</v>
      </c>
      <c r="D130" s="3">
        <f t="shared" si="84"/>
        <v>0.6381249278896729</v>
      </c>
      <c r="E130" s="3">
        <f t="shared" si="84"/>
        <v>0.90610594432606351</v>
      </c>
      <c r="F130" s="3">
        <f t="shared" si="84"/>
        <v>0.63975288910745021</v>
      </c>
      <c r="G130" s="3">
        <f t="shared" si="84"/>
        <v>0.65192833909855974</v>
      </c>
      <c r="H130" s="3">
        <f t="shared" si="84"/>
        <v>0.74790408505455497</v>
      </c>
      <c r="I130" s="3">
        <f t="shared" si="84"/>
        <v>0.70941389810693956</v>
      </c>
      <c r="J130" s="3">
        <f t="shared" si="84"/>
        <v>0.80399776753415886</v>
      </c>
      <c r="K130" s="3">
        <f t="shared" si="84"/>
        <v>0.78469205553926924</v>
      </c>
      <c r="L130" s="3">
        <f t="shared" si="84"/>
        <v>0.71171679888350237</v>
      </c>
      <c r="M130" s="3">
        <f t="shared" si="84"/>
        <v>0.62333875015515694</v>
      </c>
      <c r="N130" s="3">
        <f t="shared" si="84"/>
        <v>9.1716071953020603E-2</v>
      </c>
      <c r="O130" s="3">
        <f t="shared" si="84"/>
        <v>0.6676785161578761</v>
      </c>
      <c r="P130" s="3">
        <f t="shared" si="84"/>
        <v>0.76621823539788114</v>
      </c>
      <c r="Q130" s="3">
        <f t="shared" si="84"/>
        <v>0.88903471876610307</v>
      </c>
      <c r="R130" s="3">
        <f t="shared" si="84"/>
        <v>0.9672407673842609</v>
      </c>
      <c r="S130" s="3">
        <f t="shared" si="84"/>
        <v>0.85997706931643447</v>
      </c>
      <c r="T130" s="3">
        <f t="shared" si="84"/>
        <v>0.76173634258670264</v>
      </c>
      <c r="U130" s="3">
        <f t="shared" si="84"/>
        <v>0.77087313246505895</v>
      </c>
      <c r="V130" s="3">
        <f t="shared" si="84"/>
        <v>1.0000000000000002</v>
      </c>
      <c r="W130" s="3">
        <f t="shared" si="84"/>
        <v>0.75077758870132638</v>
      </c>
    </row>
    <row r="131" spans="2:23" x14ac:dyDescent="0.25">
      <c r="B131">
        <v>6</v>
      </c>
      <c r="C131" s="3">
        <f t="shared" si="85"/>
        <v>0.52153724547948443</v>
      </c>
      <c r="D131" s="3">
        <f t="shared" si="84"/>
        <v>0.6381249278896729</v>
      </c>
      <c r="E131" s="3">
        <f t="shared" si="84"/>
        <v>0.90610594432606362</v>
      </c>
      <c r="F131" s="3">
        <f t="shared" si="84"/>
        <v>0.6397528891074501</v>
      </c>
      <c r="G131" s="3">
        <f t="shared" si="84"/>
        <v>0.65192833909855974</v>
      </c>
      <c r="H131" s="3">
        <f t="shared" si="84"/>
        <v>0.74790408505455508</v>
      </c>
      <c r="I131" s="3">
        <f t="shared" si="84"/>
        <v>0.70941389810693956</v>
      </c>
      <c r="J131" s="3">
        <f t="shared" si="84"/>
        <v>0.80399776753415875</v>
      </c>
      <c r="K131" s="3">
        <f t="shared" si="84"/>
        <v>0.78469205553926924</v>
      </c>
      <c r="L131" s="3">
        <f t="shared" si="84"/>
        <v>0.71171679888350226</v>
      </c>
      <c r="M131" s="3">
        <f t="shared" si="84"/>
        <v>0.62333875015515694</v>
      </c>
      <c r="N131" s="3">
        <f t="shared" si="84"/>
        <v>9.1716071953020603E-2</v>
      </c>
      <c r="O131" s="3">
        <f t="shared" si="84"/>
        <v>0.6676785161578761</v>
      </c>
      <c r="P131" s="3">
        <f t="shared" si="84"/>
        <v>0.76621823539788114</v>
      </c>
      <c r="Q131" s="3">
        <f t="shared" si="84"/>
        <v>0.88903471876610318</v>
      </c>
      <c r="R131" s="3">
        <f t="shared" si="84"/>
        <v>0.9672407673842609</v>
      </c>
      <c r="S131" s="3">
        <f t="shared" si="84"/>
        <v>0.85997706931643458</v>
      </c>
      <c r="T131" s="3">
        <f t="shared" si="84"/>
        <v>0.76173634258670275</v>
      </c>
      <c r="U131" s="3">
        <f t="shared" si="84"/>
        <v>0.77087313246505895</v>
      </c>
      <c r="V131" s="3">
        <f t="shared" si="84"/>
        <v>1.0000000000000002</v>
      </c>
      <c r="W131" s="3">
        <f t="shared" si="84"/>
        <v>0.75077758870132638</v>
      </c>
    </row>
    <row r="132" spans="2:23" x14ac:dyDescent="0.25">
      <c r="B132">
        <v>7</v>
      </c>
      <c r="C132" s="3">
        <f t="shared" si="85"/>
        <v>0.52153724547948443</v>
      </c>
      <c r="D132" s="3">
        <f t="shared" si="84"/>
        <v>0.6381249278896729</v>
      </c>
      <c r="E132" s="3">
        <f t="shared" si="84"/>
        <v>0.90610594432606362</v>
      </c>
      <c r="F132" s="3">
        <f t="shared" si="84"/>
        <v>0.63975288910745021</v>
      </c>
      <c r="G132" s="3">
        <f t="shared" si="84"/>
        <v>0.65192833909855974</v>
      </c>
      <c r="H132" s="3">
        <f t="shared" si="84"/>
        <v>0.74790408505455497</v>
      </c>
      <c r="I132" s="3">
        <f t="shared" si="84"/>
        <v>0.70941389810693956</v>
      </c>
      <c r="J132" s="3">
        <f t="shared" si="84"/>
        <v>0.80399776753415875</v>
      </c>
      <c r="K132" s="3">
        <f t="shared" si="84"/>
        <v>0.78469205553926935</v>
      </c>
      <c r="L132" s="3">
        <f t="shared" si="84"/>
        <v>0.71171679888350226</v>
      </c>
      <c r="M132" s="3">
        <f t="shared" si="84"/>
        <v>0.62333875015515705</v>
      </c>
      <c r="N132" s="3">
        <f t="shared" si="84"/>
        <v>9.1716071953020589E-2</v>
      </c>
      <c r="O132" s="3">
        <f t="shared" si="84"/>
        <v>0.6676785161578761</v>
      </c>
      <c r="P132" s="3">
        <f t="shared" si="84"/>
        <v>0.76621823539788125</v>
      </c>
      <c r="Q132" s="3">
        <f t="shared" si="84"/>
        <v>0.88903471876610296</v>
      </c>
      <c r="R132" s="3">
        <f t="shared" si="84"/>
        <v>0.9672407673842609</v>
      </c>
      <c r="S132" s="3">
        <f t="shared" si="84"/>
        <v>0.85997706931643469</v>
      </c>
      <c r="T132" s="3">
        <f t="shared" si="84"/>
        <v>0.76173634258670275</v>
      </c>
      <c r="U132" s="3">
        <f t="shared" si="84"/>
        <v>0.77087313246505906</v>
      </c>
      <c r="V132" s="3">
        <f t="shared" si="84"/>
        <v>1.0000000000000002</v>
      </c>
      <c r="W132" s="3">
        <f t="shared" si="84"/>
        <v>0.75077758870132638</v>
      </c>
    </row>
    <row r="133" spans="2:23" x14ac:dyDescent="0.25">
      <c r="B133">
        <v>8</v>
      </c>
      <c r="C133" s="3">
        <f t="shared" si="85"/>
        <v>0.52153724547948443</v>
      </c>
      <c r="D133" s="3">
        <f t="shared" si="84"/>
        <v>0.6381249278896729</v>
      </c>
      <c r="E133" s="3">
        <f t="shared" si="84"/>
        <v>0.90610594432606351</v>
      </c>
      <c r="F133" s="3">
        <f t="shared" si="84"/>
        <v>0.63975288910745021</v>
      </c>
      <c r="G133" s="3">
        <f t="shared" si="84"/>
        <v>0.65192833909855963</v>
      </c>
      <c r="H133" s="3">
        <f t="shared" si="84"/>
        <v>0.74790408505455497</v>
      </c>
      <c r="I133" s="3">
        <f t="shared" si="84"/>
        <v>0.70941389810693944</v>
      </c>
      <c r="J133" s="3">
        <f t="shared" si="84"/>
        <v>0.80399776753415886</v>
      </c>
      <c r="K133" s="3">
        <f t="shared" si="84"/>
        <v>0.78469205553926924</v>
      </c>
      <c r="L133" s="3">
        <f t="shared" si="84"/>
        <v>0.71171679888350237</v>
      </c>
      <c r="M133" s="3">
        <f t="shared" si="84"/>
        <v>0.62333875015515705</v>
      </c>
      <c r="N133" s="3">
        <f t="shared" si="84"/>
        <v>9.1716071953020603E-2</v>
      </c>
      <c r="O133" s="3">
        <f t="shared" si="84"/>
        <v>0.6676785161578761</v>
      </c>
      <c r="P133" s="3">
        <f t="shared" si="84"/>
        <v>0.76621823539788114</v>
      </c>
      <c r="Q133" s="3">
        <f t="shared" si="84"/>
        <v>0.88903471876610307</v>
      </c>
      <c r="R133" s="3">
        <f t="shared" si="84"/>
        <v>0.96724076738426068</v>
      </c>
      <c r="S133" s="3">
        <f t="shared" si="84"/>
        <v>0.85997706931643447</v>
      </c>
      <c r="T133" s="3">
        <f t="shared" si="84"/>
        <v>0.76173634258670264</v>
      </c>
      <c r="U133" s="3">
        <f t="shared" si="84"/>
        <v>0.77087313246505906</v>
      </c>
      <c r="V133" s="3">
        <f t="shared" si="84"/>
        <v>1</v>
      </c>
      <c r="W133" s="3">
        <f t="shared" si="84"/>
        <v>0.75077758870132627</v>
      </c>
    </row>
    <row r="134" spans="2:23" x14ac:dyDescent="0.25">
      <c r="B134">
        <v>9</v>
      </c>
      <c r="C134" s="3">
        <f t="shared" si="85"/>
        <v>0.52153724547948443</v>
      </c>
      <c r="D134" s="3">
        <f t="shared" si="84"/>
        <v>0.6381249278896729</v>
      </c>
      <c r="E134" s="3">
        <f t="shared" si="84"/>
        <v>0.90610594432606351</v>
      </c>
      <c r="F134" s="3">
        <f t="shared" si="84"/>
        <v>0.63975288910745021</v>
      </c>
      <c r="G134" s="3">
        <f t="shared" si="84"/>
        <v>0.65192833909855974</v>
      </c>
      <c r="H134" s="3">
        <f t="shared" si="84"/>
        <v>0.74790408505455497</v>
      </c>
      <c r="I134" s="3">
        <f t="shared" si="84"/>
        <v>0.70941389810693944</v>
      </c>
      <c r="J134" s="3">
        <f t="shared" si="84"/>
        <v>0.80399776753415875</v>
      </c>
      <c r="K134" s="3">
        <f t="shared" si="84"/>
        <v>0.78469205553926924</v>
      </c>
      <c r="L134" s="3">
        <f t="shared" si="84"/>
        <v>0.71171679888350237</v>
      </c>
      <c r="M134" s="3">
        <f t="shared" si="84"/>
        <v>0.62333875015515705</v>
      </c>
      <c r="N134" s="3">
        <f t="shared" si="84"/>
        <v>9.1716071953020589E-2</v>
      </c>
      <c r="O134" s="3">
        <f t="shared" si="84"/>
        <v>0.6676785161578761</v>
      </c>
      <c r="P134" s="3">
        <f t="shared" si="84"/>
        <v>0.76621823539788125</v>
      </c>
      <c r="Q134" s="3">
        <f t="shared" si="84"/>
        <v>0.88903471876610307</v>
      </c>
      <c r="R134" s="3">
        <f t="shared" si="84"/>
        <v>0.96724076738426101</v>
      </c>
      <c r="S134" s="3">
        <f t="shared" si="84"/>
        <v>0.85997706931643458</v>
      </c>
      <c r="T134" s="3">
        <f t="shared" si="84"/>
        <v>0.76173634258670253</v>
      </c>
      <c r="U134" s="3">
        <f t="shared" si="84"/>
        <v>0.77087313246505906</v>
      </c>
      <c r="V134" s="3">
        <f t="shared" si="84"/>
        <v>1.0000000000000002</v>
      </c>
      <c r="W134" s="3">
        <f t="shared" si="84"/>
        <v>0.75077758870132627</v>
      </c>
    </row>
    <row r="136" spans="2:23" x14ac:dyDescent="0.25">
      <c r="C136" s="3">
        <f>C36*C66-C56</f>
        <v>0</v>
      </c>
    </row>
    <row r="137" spans="2:23" x14ac:dyDescent="0.25">
      <c r="C137" t="s">
        <v>48</v>
      </c>
    </row>
    <row r="138" spans="2:23" x14ac:dyDescent="0.25">
      <c r="C138" t="s">
        <v>49</v>
      </c>
    </row>
    <row r="139" spans="2:23" x14ac:dyDescent="0.25">
      <c r="C139" t="s">
        <v>50</v>
      </c>
    </row>
    <row r="141" spans="2:23" x14ac:dyDescent="0.25">
      <c r="C141" t="s">
        <v>51</v>
      </c>
    </row>
    <row r="142" spans="2:23" x14ac:dyDescent="0.25">
      <c r="C142" t="s">
        <v>52</v>
      </c>
    </row>
    <row r="143" spans="2:23" x14ac:dyDescent="0.25">
      <c r="C143" t="s">
        <v>53</v>
      </c>
    </row>
    <row r="145" spans="3:23" x14ac:dyDescent="0.25">
      <c r="C145" s="4">
        <f>1+C116*1/C126</f>
        <v>1.9174086005700943</v>
      </c>
      <c r="D145" s="4">
        <f t="shared" ref="D145:W145" si="86">1+D116*1/D126</f>
        <v>1.5670912642561623</v>
      </c>
      <c r="E145" s="4">
        <f t="shared" si="86"/>
        <v>1.1036237056625562</v>
      </c>
      <c r="F145" s="4">
        <f t="shared" si="86"/>
        <v>1.5631035311073744</v>
      </c>
      <c r="G145" s="4">
        <f t="shared" si="86"/>
        <v>1.5339109224531169</v>
      </c>
      <c r="H145" s="4">
        <f t="shared" si="86"/>
        <v>1.3370698462317614</v>
      </c>
      <c r="I145" s="4">
        <f t="shared" si="86"/>
        <v>1.4096143346902072</v>
      </c>
      <c r="J145" s="4">
        <f t="shared" si="86"/>
        <v>1.2437845481424348</v>
      </c>
      <c r="K145" s="4">
        <f t="shared" si="86"/>
        <v>1.274385273739981</v>
      </c>
      <c r="L145" s="4">
        <f t="shared" si="86"/>
        <v>1.405053248101968</v>
      </c>
      <c r="M145" s="4">
        <f t="shared" si="86"/>
        <v>1.604264133669032</v>
      </c>
      <c r="N145" s="4">
        <f t="shared" si="86"/>
        <v>10.903214438928726</v>
      </c>
      <c r="O145" s="4">
        <f t="shared" si="86"/>
        <v>1.4977267888660724</v>
      </c>
      <c r="P145" s="4">
        <f t="shared" si="86"/>
        <v>1.3051111991360018</v>
      </c>
      <c r="Q145" s="4">
        <f t="shared" si="86"/>
        <v>1.1248154643363157</v>
      </c>
      <c r="R145" s="4">
        <f t="shared" si="86"/>
        <v>1.0338687467695669</v>
      </c>
      <c r="S145" s="4">
        <f t="shared" si="86"/>
        <v>1.1628217026703571</v>
      </c>
      <c r="T145" s="4">
        <f t="shared" si="86"/>
        <v>1.3127901927380834</v>
      </c>
      <c r="U145" s="4">
        <f t="shared" si="86"/>
        <v>1.2972303196016843</v>
      </c>
      <c r="V145" s="4">
        <f t="shared" si="86"/>
        <v>0.99999999999999989</v>
      </c>
      <c r="W145" s="4">
        <f t="shared" si="86"/>
        <v>1.3319523851661201</v>
      </c>
    </row>
    <row r="146" spans="3:23" x14ac:dyDescent="0.25">
      <c r="C146" s="4">
        <f t="shared" ref="C146:W146" si="87">1+C117*1/C127</f>
        <v>1.9174086005700943</v>
      </c>
      <c r="D146" s="4">
        <f t="shared" si="87"/>
        <v>1.5670912642561623</v>
      </c>
      <c r="E146" s="4">
        <f t="shared" si="87"/>
        <v>1.1036237056625562</v>
      </c>
      <c r="F146" s="4">
        <f t="shared" si="87"/>
        <v>1.5631035311073744</v>
      </c>
      <c r="G146" s="4">
        <f t="shared" si="87"/>
        <v>1.5339109224531167</v>
      </c>
      <c r="H146" s="4">
        <f t="shared" si="87"/>
        <v>1.3370698462317612</v>
      </c>
      <c r="I146" s="4">
        <f t="shared" si="87"/>
        <v>1.4096143346902072</v>
      </c>
      <c r="J146" s="4">
        <f t="shared" si="87"/>
        <v>1.2437845481424348</v>
      </c>
      <c r="K146" s="4">
        <f t="shared" si="87"/>
        <v>1.274385273739981</v>
      </c>
      <c r="L146" s="4">
        <f t="shared" si="87"/>
        <v>1.405053248101968</v>
      </c>
      <c r="M146" s="4">
        <f t="shared" si="87"/>
        <v>1.604264133669032</v>
      </c>
      <c r="N146" s="4">
        <f t="shared" si="87"/>
        <v>10.903214438928723</v>
      </c>
      <c r="O146" s="4">
        <f t="shared" si="87"/>
        <v>1.4977267888660726</v>
      </c>
      <c r="P146" s="4">
        <f t="shared" si="87"/>
        <v>1.305111199136002</v>
      </c>
      <c r="Q146" s="4">
        <f t="shared" si="87"/>
        <v>1.1248154643363155</v>
      </c>
      <c r="R146" s="4">
        <f t="shared" si="87"/>
        <v>1.0338687467695671</v>
      </c>
      <c r="S146" s="4">
        <f t="shared" si="87"/>
        <v>1.1628217026703569</v>
      </c>
      <c r="T146" s="4">
        <f t="shared" si="87"/>
        <v>1.3127901927380834</v>
      </c>
      <c r="U146" s="4">
        <f t="shared" si="87"/>
        <v>1.2972303196016843</v>
      </c>
      <c r="V146" s="4">
        <f t="shared" si="87"/>
        <v>0.99999999999999989</v>
      </c>
      <c r="W146" s="4">
        <f t="shared" si="87"/>
        <v>1.3319523851661201</v>
      </c>
    </row>
    <row r="147" spans="3:23" x14ac:dyDescent="0.25">
      <c r="C147" s="4">
        <f t="shared" ref="C147:W147" si="88">1+C118*1/C128</f>
        <v>1.9174086005700943</v>
      </c>
      <c r="D147" s="4">
        <f t="shared" si="88"/>
        <v>1.5670912642561625</v>
      </c>
      <c r="E147" s="4">
        <f t="shared" si="88"/>
        <v>1.1036237056625562</v>
      </c>
      <c r="F147" s="4">
        <f t="shared" si="88"/>
        <v>1.5631035311073744</v>
      </c>
      <c r="G147" s="4">
        <f t="shared" si="88"/>
        <v>1.5339109224531171</v>
      </c>
      <c r="H147" s="4">
        <f t="shared" si="88"/>
        <v>1.3370698462317612</v>
      </c>
      <c r="I147" s="4">
        <f t="shared" si="88"/>
        <v>1.409614334690207</v>
      </c>
      <c r="J147" s="4">
        <f t="shared" si="88"/>
        <v>1.2437845481424348</v>
      </c>
      <c r="K147" s="4">
        <f t="shared" si="88"/>
        <v>1.274385273739981</v>
      </c>
      <c r="L147" s="4">
        <f t="shared" si="88"/>
        <v>1.405053248101968</v>
      </c>
      <c r="M147" s="4">
        <f t="shared" si="88"/>
        <v>1.6042641336690315</v>
      </c>
      <c r="N147" s="4">
        <f t="shared" si="88"/>
        <v>10.903214438928726</v>
      </c>
      <c r="O147" s="4">
        <f t="shared" si="88"/>
        <v>1.4977267888660728</v>
      </c>
      <c r="P147" s="4">
        <f t="shared" si="88"/>
        <v>1.3051111991360018</v>
      </c>
      <c r="Q147" s="4">
        <f t="shared" si="88"/>
        <v>1.1248154643363157</v>
      </c>
      <c r="R147" s="4">
        <f t="shared" si="88"/>
        <v>1.0338687467695671</v>
      </c>
      <c r="S147" s="4">
        <f t="shared" si="88"/>
        <v>1.1628217026703569</v>
      </c>
      <c r="T147" s="4">
        <f t="shared" si="88"/>
        <v>1.3127901927380832</v>
      </c>
      <c r="U147" s="4">
        <f t="shared" si="88"/>
        <v>1.2972303196016841</v>
      </c>
      <c r="V147" s="4">
        <f t="shared" si="88"/>
        <v>1</v>
      </c>
      <c r="W147" s="4">
        <f t="shared" si="88"/>
        <v>1.3319523851661201</v>
      </c>
    </row>
    <row r="148" spans="3:23" x14ac:dyDescent="0.25">
      <c r="C148" s="4">
        <f t="shared" ref="C148:W148" si="89">1+C119*1/C129</f>
        <v>1.9174086005700943</v>
      </c>
      <c r="D148" s="4">
        <f t="shared" si="89"/>
        <v>1.5670912642561623</v>
      </c>
      <c r="E148" s="4">
        <f t="shared" si="89"/>
        <v>1.1036237056625562</v>
      </c>
      <c r="F148" s="4">
        <f t="shared" si="89"/>
        <v>1.5631035311073744</v>
      </c>
      <c r="G148" s="4">
        <f t="shared" si="89"/>
        <v>1.5339109224531171</v>
      </c>
      <c r="H148" s="4">
        <f t="shared" si="89"/>
        <v>1.3370698462317614</v>
      </c>
      <c r="I148" s="4">
        <f t="shared" si="89"/>
        <v>1.4096143346902072</v>
      </c>
      <c r="J148" s="4">
        <f t="shared" si="89"/>
        <v>1.2437845481424348</v>
      </c>
      <c r="K148" s="4">
        <f t="shared" si="89"/>
        <v>1.274385273739981</v>
      </c>
      <c r="L148" s="4">
        <f t="shared" si="89"/>
        <v>1.405053248101968</v>
      </c>
      <c r="M148" s="4">
        <f t="shared" si="89"/>
        <v>1.6042641336690322</v>
      </c>
      <c r="N148" s="4">
        <f t="shared" si="89"/>
        <v>10.903214438928726</v>
      </c>
      <c r="O148" s="4">
        <f t="shared" si="89"/>
        <v>1.4977267888660726</v>
      </c>
      <c r="P148" s="4">
        <f t="shared" si="89"/>
        <v>1.3051111991360018</v>
      </c>
      <c r="Q148" s="4">
        <f t="shared" si="89"/>
        <v>1.1248154643363155</v>
      </c>
      <c r="R148" s="4">
        <f t="shared" si="89"/>
        <v>1.0338687467695669</v>
      </c>
      <c r="S148" s="4">
        <f t="shared" si="89"/>
        <v>1.1628217026703571</v>
      </c>
      <c r="T148" s="4">
        <f t="shared" si="89"/>
        <v>1.3127901927380834</v>
      </c>
      <c r="U148" s="4">
        <f t="shared" si="89"/>
        <v>1.2972303196016841</v>
      </c>
      <c r="V148" s="4">
        <f t="shared" si="89"/>
        <v>0.99999999999999978</v>
      </c>
      <c r="W148" s="4">
        <f t="shared" si="89"/>
        <v>1.3319523851661204</v>
      </c>
    </row>
    <row r="149" spans="3:23" x14ac:dyDescent="0.25">
      <c r="C149" s="4">
        <f t="shared" ref="C149:W149" si="90">1+C120*1/C130</f>
        <v>1.9174086005700943</v>
      </c>
      <c r="D149" s="4">
        <f t="shared" si="90"/>
        <v>1.5670912642561623</v>
      </c>
      <c r="E149" s="4">
        <f t="shared" si="90"/>
        <v>1.1036237056625562</v>
      </c>
      <c r="F149" s="4">
        <f t="shared" si="90"/>
        <v>1.5631035311073744</v>
      </c>
      <c r="G149" s="4">
        <f t="shared" si="90"/>
        <v>1.5339109224531167</v>
      </c>
      <c r="H149" s="4">
        <f t="shared" si="90"/>
        <v>1.3370698462317614</v>
      </c>
      <c r="I149" s="4">
        <f t="shared" si="90"/>
        <v>1.4096143346902072</v>
      </c>
      <c r="J149" s="4">
        <f t="shared" si="90"/>
        <v>1.2437845481424348</v>
      </c>
      <c r="K149" s="4">
        <f t="shared" si="90"/>
        <v>1.274385273739981</v>
      </c>
      <c r="L149" s="4">
        <f t="shared" si="90"/>
        <v>1.405053248101968</v>
      </c>
      <c r="M149" s="4">
        <f t="shared" si="90"/>
        <v>1.604264133669032</v>
      </c>
      <c r="N149" s="4">
        <f t="shared" si="90"/>
        <v>10.903214438928721</v>
      </c>
      <c r="O149" s="4">
        <f t="shared" si="90"/>
        <v>1.4977267888660728</v>
      </c>
      <c r="P149" s="4">
        <f t="shared" si="90"/>
        <v>1.3051111991360018</v>
      </c>
      <c r="Q149" s="4">
        <f t="shared" si="90"/>
        <v>1.1248154643363157</v>
      </c>
      <c r="R149" s="4">
        <f t="shared" si="90"/>
        <v>1.0338687467695669</v>
      </c>
      <c r="S149" s="4">
        <f t="shared" si="90"/>
        <v>1.1628217026703571</v>
      </c>
      <c r="T149" s="4">
        <f t="shared" si="90"/>
        <v>1.3127901927380832</v>
      </c>
      <c r="U149" s="4">
        <f t="shared" si="90"/>
        <v>1.2972303196016843</v>
      </c>
      <c r="V149" s="4">
        <f t="shared" si="90"/>
        <v>0.99999999999999989</v>
      </c>
      <c r="W149" s="4">
        <f t="shared" si="90"/>
        <v>1.3319523851661201</v>
      </c>
    </row>
    <row r="150" spans="3:23" x14ac:dyDescent="0.25">
      <c r="C150" s="4">
        <f t="shared" ref="C150:W150" si="91">1+C121*1/C131</f>
        <v>1.9174086005700943</v>
      </c>
      <c r="D150" s="4">
        <f t="shared" si="91"/>
        <v>1.5670912642561623</v>
      </c>
      <c r="E150" s="4">
        <f t="shared" si="91"/>
        <v>1.1036237056625562</v>
      </c>
      <c r="F150" s="4">
        <f t="shared" si="91"/>
        <v>1.5631035311073747</v>
      </c>
      <c r="G150" s="4">
        <f t="shared" si="91"/>
        <v>1.5339109224531167</v>
      </c>
      <c r="H150" s="4">
        <f t="shared" si="91"/>
        <v>1.3370698462317612</v>
      </c>
      <c r="I150" s="4">
        <f t="shared" si="91"/>
        <v>1.409614334690207</v>
      </c>
      <c r="J150" s="4">
        <f t="shared" si="91"/>
        <v>1.2437845481424348</v>
      </c>
      <c r="K150" s="4">
        <f t="shared" si="91"/>
        <v>1.274385273739981</v>
      </c>
      <c r="L150" s="4">
        <f t="shared" si="91"/>
        <v>1.405053248101968</v>
      </c>
      <c r="M150" s="4">
        <f t="shared" si="91"/>
        <v>1.604264133669032</v>
      </c>
      <c r="N150" s="4">
        <f t="shared" si="91"/>
        <v>10.903214438928725</v>
      </c>
      <c r="O150" s="4">
        <f t="shared" si="91"/>
        <v>1.4977267888660728</v>
      </c>
      <c r="P150" s="4">
        <f t="shared" si="91"/>
        <v>1.3051111991360018</v>
      </c>
      <c r="Q150" s="4">
        <f t="shared" si="91"/>
        <v>1.1248154643363155</v>
      </c>
      <c r="R150" s="4">
        <f t="shared" si="91"/>
        <v>1.0338687467695669</v>
      </c>
      <c r="S150" s="4">
        <f t="shared" si="91"/>
        <v>1.1628217026703569</v>
      </c>
      <c r="T150" s="4">
        <f t="shared" si="91"/>
        <v>1.3127901927380832</v>
      </c>
      <c r="U150" s="4">
        <f t="shared" si="91"/>
        <v>1.2972303196016843</v>
      </c>
      <c r="V150" s="4">
        <f t="shared" si="91"/>
        <v>0.99999999999999978</v>
      </c>
      <c r="W150" s="4">
        <f t="shared" si="91"/>
        <v>1.3319523851661201</v>
      </c>
    </row>
    <row r="151" spans="3:23" x14ac:dyDescent="0.25">
      <c r="C151" s="4">
        <f t="shared" ref="C151:W151" si="92">1+C122*1/C132</f>
        <v>1.9174086005700943</v>
      </c>
      <c r="D151" s="4">
        <f t="shared" si="92"/>
        <v>1.5670912642561623</v>
      </c>
      <c r="E151" s="4">
        <f t="shared" si="92"/>
        <v>1.103623705662556</v>
      </c>
      <c r="F151" s="4">
        <f t="shared" si="92"/>
        <v>1.5631035311073744</v>
      </c>
      <c r="G151" s="4">
        <f t="shared" si="92"/>
        <v>1.5339109224531167</v>
      </c>
      <c r="H151" s="4">
        <f t="shared" si="92"/>
        <v>1.3370698462317614</v>
      </c>
      <c r="I151" s="4">
        <f t="shared" si="92"/>
        <v>1.409614334690207</v>
      </c>
      <c r="J151" s="4">
        <f t="shared" si="92"/>
        <v>1.2437845481424348</v>
      </c>
      <c r="K151" s="4">
        <f t="shared" si="92"/>
        <v>1.274385273739981</v>
      </c>
      <c r="L151" s="4">
        <f t="shared" si="92"/>
        <v>1.405053248101968</v>
      </c>
      <c r="M151" s="4">
        <f t="shared" si="92"/>
        <v>1.6042641336690318</v>
      </c>
      <c r="N151" s="4">
        <f t="shared" si="92"/>
        <v>10.903214438928725</v>
      </c>
      <c r="O151" s="4">
        <f t="shared" si="92"/>
        <v>1.4977267888660726</v>
      </c>
      <c r="P151" s="4">
        <f t="shared" si="92"/>
        <v>1.3051111991360018</v>
      </c>
      <c r="Q151" s="4">
        <f t="shared" si="92"/>
        <v>1.1248154643363157</v>
      </c>
      <c r="R151" s="4">
        <f t="shared" si="92"/>
        <v>1.0338687467695669</v>
      </c>
      <c r="S151" s="4">
        <f t="shared" si="92"/>
        <v>1.1628217026703569</v>
      </c>
      <c r="T151" s="4">
        <f t="shared" si="92"/>
        <v>1.3127901927380832</v>
      </c>
      <c r="U151" s="4">
        <f t="shared" si="92"/>
        <v>1.2972303196016843</v>
      </c>
      <c r="V151" s="4">
        <f t="shared" si="92"/>
        <v>0.99999999999999978</v>
      </c>
      <c r="W151" s="4">
        <f t="shared" si="92"/>
        <v>1.3319523851661201</v>
      </c>
    </row>
    <row r="152" spans="3:23" x14ac:dyDescent="0.25">
      <c r="C152" s="4">
        <f t="shared" ref="C152:W152" si="93">1+C123*1/C133</f>
        <v>1.9174086005700943</v>
      </c>
      <c r="D152" s="4">
        <f t="shared" si="93"/>
        <v>1.5670912642561623</v>
      </c>
      <c r="E152" s="4">
        <f t="shared" si="93"/>
        <v>1.1036237056625562</v>
      </c>
      <c r="F152" s="4">
        <f t="shared" si="93"/>
        <v>1.5631035311073744</v>
      </c>
      <c r="G152" s="4">
        <f t="shared" si="93"/>
        <v>1.5339109224531167</v>
      </c>
      <c r="H152" s="4">
        <f t="shared" si="93"/>
        <v>1.3370698462317614</v>
      </c>
      <c r="I152" s="4">
        <f t="shared" si="93"/>
        <v>1.4096143346902075</v>
      </c>
      <c r="J152" s="4">
        <f t="shared" si="93"/>
        <v>1.2437845481424348</v>
      </c>
      <c r="K152" s="4">
        <f t="shared" si="93"/>
        <v>1.274385273739981</v>
      </c>
      <c r="L152" s="4">
        <f t="shared" si="93"/>
        <v>1.405053248101968</v>
      </c>
      <c r="M152" s="4">
        <f t="shared" si="93"/>
        <v>1.6042641336690315</v>
      </c>
      <c r="N152" s="4">
        <f t="shared" si="93"/>
        <v>10.903214438928723</v>
      </c>
      <c r="O152" s="4">
        <f t="shared" si="93"/>
        <v>1.4977267888660726</v>
      </c>
      <c r="P152" s="4">
        <f t="shared" si="93"/>
        <v>1.3051111991360016</v>
      </c>
      <c r="Q152" s="4">
        <f t="shared" si="93"/>
        <v>1.1248154643363155</v>
      </c>
      <c r="R152" s="4">
        <f t="shared" si="93"/>
        <v>1.0338687467695669</v>
      </c>
      <c r="S152" s="4">
        <f t="shared" si="93"/>
        <v>1.1628217026703571</v>
      </c>
      <c r="T152" s="4">
        <f t="shared" si="93"/>
        <v>1.3127901927380834</v>
      </c>
      <c r="U152" s="4">
        <f t="shared" si="93"/>
        <v>1.2972303196016843</v>
      </c>
      <c r="V152" s="4">
        <f t="shared" si="93"/>
        <v>1</v>
      </c>
      <c r="W152" s="4">
        <f t="shared" si="93"/>
        <v>1.3319523851661204</v>
      </c>
    </row>
    <row r="153" spans="3:23" x14ac:dyDescent="0.25">
      <c r="C153" s="4">
        <f t="shared" ref="C153:W153" si="94">1+C124*1/C134</f>
        <v>1.9174086005700943</v>
      </c>
      <c r="D153" s="4">
        <f t="shared" si="94"/>
        <v>1.5670912642561625</v>
      </c>
      <c r="E153" s="4">
        <f t="shared" si="94"/>
        <v>1.1036237056625562</v>
      </c>
      <c r="F153" s="4">
        <f t="shared" si="94"/>
        <v>1.5631035311073744</v>
      </c>
      <c r="G153" s="4">
        <f t="shared" si="94"/>
        <v>1.5339109224531167</v>
      </c>
      <c r="H153" s="4">
        <f t="shared" si="94"/>
        <v>1.3370698462317614</v>
      </c>
      <c r="I153" s="4">
        <f t="shared" si="94"/>
        <v>1.4096143346902075</v>
      </c>
      <c r="J153" s="4">
        <f t="shared" si="94"/>
        <v>1.2437845481424348</v>
      </c>
      <c r="K153" s="4">
        <f t="shared" si="94"/>
        <v>1.274385273739981</v>
      </c>
      <c r="L153" s="4">
        <f t="shared" si="94"/>
        <v>1.405053248101968</v>
      </c>
      <c r="M153" s="4">
        <f t="shared" si="94"/>
        <v>1.6042641336690318</v>
      </c>
      <c r="N153" s="4">
        <f t="shared" si="94"/>
        <v>10.903214438928725</v>
      </c>
      <c r="O153" s="4">
        <f t="shared" si="94"/>
        <v>1.4977267888660726</v>
      </c>
      <c r="P153" s="4">
        <f t="shared" si="94"/>
        <v>1.3051111991360018</v>
      </c>
      <c r="Q153" s="4">
        <f t="shared" si="94"/>
        <v>1.1248154643363155</v>
      </c>
      <c r="R153" s="4">
        <f t="shared" si="94"/>
        <v>1.0338687467695669</v>
      </c>
      <c r="S153" s="4">
        <f t="shared" si="94"/>
        <v>1.1628217026703569</v>
      </c>
      <c r="T153" s="4">
        <f t="shared" si="94"/>
        <v>1.3127901927380834</v>
      </c>
      <c r="U153" s="4">
        <f t="shared" si="94"/>
        <v>1.2972303196016841</v>
      </c>
      <c r="V153" s="4">
        <f t="shared" si="94"/>
        <v>0.99999999999999978</v>
      </c>
      <c r="W153" s="4">
        <f t="shared" si="94"/>
        <v>1.3319523851661201</v>
      </c>
    </row>
    <row r="154" spans="3:23" x14ac:dyDescent="0.25">
      <c r="C154" s="4" t="s">
        <v>55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3:23" x14ac:dyDescent="0.25">
      <c r="C155" s="5">
        <f>C145*C126</f>
        <v>1</v>
      </c>
      <c r="D155" s="5">
        <f t="shared" ref="D155:W163" si="95">D145*D126</f>
        <v>0.99999999999999989</v>
      </c>
      <c r="E155" s="5">
        <f t="shared" si="95"/>
        <v>1</v>
      </c>
      <c r="F155" s="5">
        <f t="shared" si="95"/>
        <v>1</v>
      </c>
      <c r="G155" s="5">
        <f t="shared" si="95"/>
        <v>1</v>
      </c>
      <c r="H155" s="5">
        <f t="shared" si="95"/>
        <v>1</v>
      </c>
      <c r="I155" s="5">
        <f t="shared" si="95"/>
        <v>1</v>
      </c>
      <c r="J155" s="5">
        <f t="shared" si="95"/>
        <v>1</v>
      </c>
      <c r="K155" s="5">
        <f t="shared" si="95"/>
        <v>1.0000000000000002</v>
      </c>
      <c r="L155" s="5">
        <f t="shared" si="95"/>
        <v>1</v>
      </c>
      <c r="M155" s="5">
        <f t="shared" si="95"/>
        <v>1</v>
      </c>
      <c r="N155" s="5">
        <f t="shared" si="95"/>
        <v>1</v>
      </c>
      <c r="O155" s="5">
        <f t="shared" si="95"/>
        <v>1.0000000000000002</v>
      </c>
      <c r="P155" s="5">
        <f t="shared" si="95"/>
        <v>1</v>
      </c>
      <c r="Q155" s="5">
        <f t="shared" si="95"/>
        <v>1</v>
      </c>
      <c r="R155" s="5">
        <f t="shared" si="95"/>
        <v>1</v>
      </c>
      <c r="S155" s="5">
        <f t="shared" si="95"/>
        <v>1</v>
      </c>
      <c r="T155" s="5">
        <f t="shared" si="95"/>
        <v>1</v>
      </c>
      <c r="U155" s="5">
        <f t="shared" si="95"/>
        <v>1.0000000000000002</v>
      </c>
      <c r="V155" s="5">
        <f t="shared" si="95"/>
        <v>1</v>
      </c>
      <c r="W155" s="5">
        <f t="shared" si="95"/>
        <v>0.99999999999999989</v>
      </c>
    </row>
    <row r="156" spans="3:23" x14ac:dyDescent="0.25">
      <c r="C156" s="5">
        <f t="shared" ref="C156:R163" si="96">C146*C127</f>
        <v>1</v>
      </c>
      <c r="D156" s="5">
        <f t="shared" si="96"/>
        <v>0.99999999999999989</v>
      </c>
      <c r="E156" s="5">
        <f t="shared" si="96"/>
        <v>1</v>
      </c>
      <c r="F156" s="5">
        <f t="shared" si="96"/>
        <v>1</v>
      </c>
      <c r="G156" s="5">
        <f t="shared" si="96"/>
        <v>1</v>
      </c>
      <c r="H156" s="5">
        <f t="shared" si="96"/>
        <v>1</v>
      </c>
      <c r="I156" s="5">
        <f t="shared" si="96"/>
        <v>0.99999999999999989</v>
      </c>
      <c r="J156" s="5">
        <f t="shared" si="96"/>
        <v>1</v>
      </c>
      <c r="K156" s="5">
        <f t="shared" si="96"/>
        <v>0.99999999999999989</v>
      </c>
      <c r="L156" s="5">
        <f t="shared" si="96"/>
        <v>0.99999999999999989</v>
      </c>
      <c r="M156" s="5">
        <f t="shared" si="96"/>
        <v>1</v>
      </c>
      <c r="N156" s="5">
        <f t="shared" si="96"/>
        <v>0.99999999999999989</v>
      </c>
      <c r="O156" s="5">
        <f t="shared" si="96"/>
        <v>1</v>
      </c>
      <c r="P156" s="5">
        <f t="shared" si="96"/>
        <v>1</v>
      </c>
      <c r="Q156" s="5">
        <f t="shared" si="96"/>
        <v>0.99999999999999989</v>
      </c>
      <c r="R156" s="5">
        <f t="shared" si="96"/>
        <v>1</v>
      </c>
      <c r="S156" s="5">
        <f t="shared" si="95"/>
        <v>1.0000000000000002</v>
      </c>
      <c r="T156" s="5">
        <f t="shared" si="95"/>
        <v>0.99999999999999989</v>
      </c>
      <c r="U156" s="5">
        <f t="shared" si="95"/>
        <v>1.0000000000000002</v>
      </c>
      <c r="V156" s="5">
        <f t="shared" si="95"/>
        <v>1</v>
      </c>
      <c r="W156" s="5">
        <f t="shared" si="95"/>
        <v>1</v>
      </c>
    </row>
    <row r="157" spans="3:23" x14ac:dyDescent="0.25">
      <c r="C157" s="5">
        <f t="shared" si="96"/>
        <v>1</v>
      </c>
      <c r="D157" s="5">
        <f t="shared" si="95"/>
        <v>1</v>
      </c>
      <c r="E157" s="5">
        <f t="shared" si="95"/>
        <v>1</v>
      </c>
      <c r="F157" s="5">
        <f t="shared" si="95"/>
        <v>1</v>
      </c>
      <c r="G157" s="5">
        <f t="shared" si="95"/>
        <v>1.0000000000000002</v>
      </c>
      <c r="H157" s="5">
        <f t="shared" si="95"/>
        <v>1</v>
      </c>
      <c r="I157" s="5">
        <f t="shared" si="95"/>
        <v>0.99999999999999989</v>
      </c>
      <c r="J157" s="5">
        <f t="shared" si="95"/>
        <v>1</v>
      </c>
      <c r="K157" s="5">
        <f t="shared" si="95"/>
        <v>0.99999999999999989</v>
      </c>
      <c r="L157" s="5">
        <f t="shared" si="95"/>
        <v>0.99999999999999989</v>
      </c>
      <c r="M157" s="5">
        <f t="shared" si="95"/>
        <v>0.99999999999999989</v>
      </c>
      <c r="N157" s="5">
        <f t="shared" si="95"/>
        <v>1</v>
      </c>
      <c r="O157" s="5">
        <f t="shared" si="95"/>
        <v>0.99999999999999989</v>
      </c>
      <c r="P157" s="5">
        <f t="shared" si="95"/>
        <v>1.0000000000000002</v>
      </c>
      <c r="Q157" s="5">
        <f t="shared" si="95"/>
        <v>1</v>
      </c>
      <c r="R157" s="5">
        <f t="shared" si="95"/>
        <v>1.0000000000000002</v>
      </c>
      <c r="S157" s="5">
        <f t="shared" si="95"/>
        <v>1</v>
      </c>
      <c r="T157" s="5">
        <f t="shared" si="95"/>
        <v>1</v>
      </c>
      <c r="U157" s="5">
        <f t="shared" si="95"/>
        <v>0.99999999999999989</v>
      </c>
      <c r="V157" s="5">
        <f t="shared" si="95"/>
        <v>1</v>
      </c>
      <c r="W157" s="5">
        <f t="shared" si="95"/>
        <v>1</v>
      </c>
    </row>
    <row r="158" spans="3:23" x14ac:dyDescent="0.25">
      <c r="C158" s="5">
        <f t="shared" si="96"/>
        <v>1</v>
      </c>
      <c r="D158" s="5">
        <f t="shared" si="95"/>
        <v>0.99999999999999989</v>
      </c>
      <c r="E158" s="5">
        <f t="shared" si="95"/>
        <v>1.0000000000000002</v>
      </c>
      <c r="F158" s="5">
        <f t="shared" si="95"/>
        <v>1</v>
      </c>
      <c r="G158" s="5">
        <f t="shared" si="95"/>
        <v>1</v>
      </c>
      <c r="H158" s="5">
        <f t="shared" si="95"/>
        <v>1</v>
      </c>
      <c r="I158" s="5">
        <f t="shared" si="95"/>
        <v>1</v>
      </c>
      <c r="J158" s="5">
        <f t="shared" si="95"/>
        <v>1</v>
      </c>
      <c r="K158" s="5">
        <f t="shared" si="95"/>
        <v>1</v>
      </c>
      <c r="L158" s="5">
        <f t="shared" si="95"/>
        <v>1</v>
      </c>
      <c r="M158" s="5">
        <f t="shared" si="95"/>
        <v>1</v>
      </c>
      <c r="N158" s="5">
        <f t="shared" si="95"/>
        <v>1</v>
      </c>
      <c r="O158" s="5">
        <f t="shared" si="95"/>
        <v>0.99999999999999989</v>
      </c>
      <c r="P158" s="5">
        <f t="shared" si="95"/>
        <v>0.99999999999999978</v>
      </c>
      <c r="Q158" s="5">
        <f t="shared" si="95"/>
        <v>0.99999999999999989</v>
      </c>
      <c r="R158" s="5">
        <f t="shared" si="95"/>
        <v>1</v>
      </c>
      <c r="S158" s="5">
        <f t="shared" si="95"/>
        <v>1.0000000000000002</v>
      </c>
      <c r="T158" s="5">
        <f t="shared" si="95"/>
        <v>0.99999999999999989</v>
      </c>
      <c r="U158" s="5">
        <f t="shared" si="95"/>
        <v>0.99999999999999989</v>
      </c>
      <c r="V158" s="5">
        <f t="shared" si="95"/>
        <v>1</v>
      </c>
      <c r="W158" s="5">
        <f t="shared" si="95"/>
        <v>1</v>
      </c>
    </row>
    <row r="159" spans="3:23" x14ac:dyDescent="0.25">
      <c r="C159" s="5">
        <f t="shared" si="96"/>
        <v>1</v>
      </c>
      <c r="D159" s="5">
        <f t="shared" si="95"/>
        <v>0.99999999999999989</v>
      </c>
      <c r="E159" s="5">
        <f t="shared" si="95"/>
        <v>1</v>
      </c>
      <c r="F159" s="5">
        <f t="shared" si="95"/>
        <v>1</v>
      </c>
      <c r="G159" s="5">
        <f t="shared" si="95"/>
        <v>1</v>
      </c>
      <c r="H159" s="5">
        <f t="shared" si="95"/>
        <v>1</v>
      </c>
      <c r="I159" s="5">
        <f t="shared" si="95"/>
        <v>1</v>
      </c>
      <c r="J159" s="5">
        <f t="shared" si="95"/>
        <v>1</v>
      </c>
      <c r="K159" s="5">
        <f t="shared" si="95"/>
        <v>1</v>
      </c>
      <c r="L159" s="5">
        <f t="shared" si="95"/>
        <v>1</v>
      </c>
      <c r="M159" s="5">
        <f t="shared" si="95"/>
        <v>1</v>
      </c>
      <c r="N159" s="5">
        <f t="shared" si="95"/>
        <v>0.99999999999999978</v>
      </c>
      <c r="O159" s="5">
        <f t="shared" si="95"/>
        <v>1</v>
      </c>
      <c r="P159" s="5">
        <f t="shared" si="95"/>
        <v>1</v>
      </c>
      <c r="Q159" s="5">
        <f t="shared" si="95"/>
        <v>1</v>
      </c>
      <c r="R159" s="5">
        <f t="shared" si="95"/>
        <v>1</v>
      </c>
      <c r="S159" s="5">
        <f t="shared" si="95"/>
        <v>1</v>
      </c>
      <c r="T159" s="5">
        <f t="shared" si="95"/>
        <v>0.99999999999999989</v>
      </c>
      <c r="U159" s="5">
        <f t="shared" si="95"/>
        <v>1</v>
      </c>
      <c r="V159" s="5">
        <f t="shared" si="95"/>
        <v>1</v>
      </c>
      <c r="W159" s="5">
        <f t="shared" si="95"/>
        <v>1</v>
      </c>
    </row>
    <row r="160" spans="3:23" x14ac:dyDescent="0.25">
      <c r="C160" s="5">
        <f t="shared" si="96"/>
        <v>1</v>
      </c>
      <c r="D160" s="5">
        <f t="shared" si="95"/>
        <v>0.99999999999999989</v>
      </c>
      <c r="E160" s="5">
        <f t="shared" si="95"/>
        <v>1.0000000000000002</v>
      </c>
      <c r="F160" s="5">
        <f t="shared" si="95"/>
        <v>0.99999999999999989</v>
      </c>
      <c r="G160" s="5">
        <f t="shared" si="95"/>
        <v>1</v>
      </c>
      <c r="H160" s="5">
        <f t="shared" si="95"/>
        <v>1</v>
      </c>
      <c r="I160" s="5">
        <f t="shared" si="95"/>
        <v>0.99999999999999989</v>
      </c>
      <c r="J160" s="5">
        <f t="shared" si="95"/>
        <v>1</v>
      </c>
      <c r="K160" s="5">
        <f t="shared" si="95"/>
        <v>1</v>
      </c>
      <c r="L160" s="5">
        <f t="shared" si="95"/>
        <v>0.99999999999999989</v>
      </c>
      <c r="M160" s="5">
        <f t="shared" si="95"/>
        <v>1</v>
      </c>
      <c r="N160" s="5">
        <f t="shared" si="95"/>
        <v>1</v>
      </c>
      <c r="O160" s="5">
        <f t="shared" si="95"/>
        <v>1</v>
      </c>
      <c r="P160" s="5">
        <f t="shared" si="95"/>
        <v>1</v>
      </c>
      <c r="Q160" s="5">
        <f t="shared" si="95"/>
        <v>1</v>
      </c>
      <c r="R160" s="5">
        <f t="shared" si="95"/>
        <v>1</v>
      </c>
      <c r="S160" s="5">
        <f t="shared" si="95"/>
        <v>1</v>
      </c>
      <c r="T160" s="5">
        <f t="shared" si="95"/>
        <v>1</v>
      </c>
      <c r="U160" s="5">
        <f t="shared" si="95"/>
        <v>1</v>
      </c>
      <c r="V160" s="5">
        <f t="shared" si="95"/>
        <v>1</v>
      </c>
      <c r="W160" s="5">
        <f t="shared" si="95"/>
        <v>1</v>
      </c>
    </row>
    <row r="161" spans="3:23" x14ac:dyDescent="0.25">
      <c r="C161" s="5">
        <f t="shared" si="96"/>
        <v>1</v>
      </c>
      <c r="D161" s="5">
        <f t="shared" si="95"/>
        <v>0.99999999999999989</v>
      </c>
      <c r="E161" s="5">
        <f t="shared" si="95"/>
        <v>1</v>
      </c>
      <c r="F161" s="5">
        <f t="shared" si="95"/>
        <v>1</v>
      </c>
      <c r="G161" s="5">
        <f t="shared" si="95"/>
        <v>1</v>
      </c>
      <c r="H161" s="5">
        <f t="shared" si="95"/>
        <v>1</v>
      </c>
      <c r="I161" s="5">
        <f t="shared" si="95"/>
        <v>0.99999999999999989</v>
      </c>
      <c r="J161" s="5">
        <f t="shared" si="95"/>
        <v>1</v>
      </c>
      <c r="K161" s="5">
        <f t="shared" si="95"/>
        <v>1.0000000000000002</v>
      </c>
      <c r="L161" s="5">
        <f t="shared" si="95"/>
        <v>0.99999999999999989</v>
      </c>
      <c r="M161" s="5">
        <f t="shared" si="95"/>
        <v>1</v>
      </c>
      <c r="N161" s="5">
        <f t="shared" si="95"/>
        <v>0.99999999999999989</v>
      </c>
      <c r="O161" s="5">
        <f t="shared" si="95"/>
        <v>0.99999999999999989</v>
      </c>
      <c r="P161" s="5">
        <f t="shared" si="95"/>
        <v>1.0000000000000002</v>
      </c>
      <c r="Q161" s="5">
        <f t="shared" si="95"/>
        <v>1</v>
      </c>
      <c r="R161" s="5">
        <f t="shared" si="95"/>
        <v>1</v>
      </c>
      <c r="S161" s="5">
        <f t="shared" si="95"/>
        <v>1.0000000000000002</v>
      </c>
      <c r="T161" s="5">
        <f t="shared" si="95"/>
        <v>1</v>
      </c>
      <c r="U161" s="5">
        <f t="shared" si="95"/>
        <v>1.0000000000000002</v>
      </c>
      <c r="V161" s="5">
        <f t="shared" si="95"/>
        <v>1</v>
      </c>
      <c r="W161" s="5">
        <f t="shared" si="95"/>
        <v>1</v>
      </c>
    </row>
    <row r="162" spans="3:23" x14ac:dyDescent="0.25">
      <c r="C162" s="5">
        <f t="shared" si="96"/>
        <v>1</v>
      </c>
      <c r="D162" s="5">
        <f t="shared" si="95"/>
        <v>0.99999999999999989</v>
      </c>
      <c r="E162" s="5">
        <f t="shared" si="95"/>
        <v>1</v>
      </c>
      <c r="F162" s="5">
        <f t="shared" si="95"/>
        <v>1</v>
      </c>
      <c r="G162" s="5">
        <f t="shared" si="95"/>
        <v>0.99999999999999989</v>
      </c>
      <c r="H162" s="5">
        <f t="shared" si="95"/>
        <v>1</v>
      </c>
      <c r="I162" s="5">
        <f t="shared" si="95"/>
        <v>1</v>
      </c>
      <c r="J162" s="5">
        <f t="shared" si="95"/>
        <v>1</v>
      </c>
      <c r="K162" s="5">
        <f t="shared" si="95"/>
        <v>1</v>
      </c>
      <c r="L162" s="5">
        <f t="shared" si="95"/>
        <v>1</v>
      </c>
      <c r="M162" s="5">
        <f t="shared" si="95"/>
        <v>0.99999999999999989</v>
      </c>
      <c r="N162" s="5">
        <f t="shared" si="95"/>
        <v>0.99999999999999989</v>
      </c>
      <c r="O162" s="5">
        <f t="shared" si="95"/>
        <v>0.99999999999999989</v>
      </c>
      <c r="P162" s="5">
        <f t="shared" si="95"/>
        <v>0.99999999999999978</v>
      </c>
      <c r="Q162" s="5">
        <f t="shared" si="95"/>
        <v>0.99999999999999989</v>
      </c>
      <c r="R162" s="5">
        <f t="shared" si="95"/>
        <v>0.99999999999999978</v>
      </c>
      <c r="S162" s="5">
        <f t="shared" si="95"/>
        <v>1</v>
      </c>
      <c r="T162" s="5">
        <f t="shared" si="95"/>
        <v>1</v>
      </c>
      <c r="U162" s="5">
        <f t="shared" si="95"/>
        <v>1.0000000000000002</v>
      </c>
      <c r="V162" s="5">
        <f t="shared" si="95"/>
        <v>1</v>
      </c>
      <c r="W162" s="5">
        <f t="shared" si="95"/>
        <v>1</v>
      </c>
    </row>
    <row r="163" spans="3:23" x14ac:dyDescent="0.25">
      <c r="C163" s="5">
        <f t="shared" si="96"/>
        <v>1</v>
      </c>
      <c r="D163" s="5">
        <f t="shared" si="95"/>
        <v>1</v>
      </c>
      <c r="E163" s="5">
        <f t="shared" si="95"/>
        <v>1</v>
      </c>
      <c r="F163" s="5">
        <f t="shared" si="95"/>
        <v>1</v>
      </c>
      <c r="G163" s="5">
        <f t="shared" si="95"/>
        <v>1</v>
      </c>
      <c r="H163" s="5">
        <f t="shared" si="95"/>
        <v>1</v>
      </c>
      <c r="I163" s="5">
        <f t="shared" si="95"/>
        <v>1</v>
      </c>
      <c r="J163" s="5">
        <f t="shared" si="95"/>
        <v>1</v>
      </c>
      <c r="K163" s="5">
        <f t="shared" si="95"/>
        <v>1</v>
      </c>
      <c r="L163" s="5">
        <f t="shared" si="95"/>
        <v>1</v>
      </c>
      <c r="M163" s="5">
        <f t="shared" si="95"/>
        <v>1</v>
      </c>
      <c r="N163" s="5">
        <f t="shared" si="95"/>
        <v>0.99999999999999989</v>
      </c>
      <c r="O163" s="5">
        <f t="shared" si="95"/>
        <v>0.99999999999999989</v>
      </c>
      <c r="P163" s="5">
        <f t="shared" si="95"/>
        <v>1.0000000000000002</v>
      </c>
      <c r="Q163" s="5">
        <f t="shared" si="95"/>
        <v>0.99999999999999989</v>
      </c>
      <c r="R163" s="5">
        <f t="shared" si="95"/>
        <v>1</v>
      </c>
      <c r="S163" s="5">
        <f t="shared" si="95"/>
        <v>1</v>
      </c>
      <c r="T163" s="5">
        <f t="shared" si="95"/>
        <v>0.99999999999999989</v>
      </c>
      <c r="U163" s="5">
        <f t="shared" si="95"/>
        <v>0.99999999999999989</v>
      </c>
      <c r="V163" s="5">
        <f t="shared" si="95"/>
        <v>1</v>
      </c>
      <c r="W163" s="5">
        <f t="shared" si="95"/>
        <v>0.99999999999999989</v>
      </c>
    </row>
    <row r="164" spans="3:23" x14ac:dyDescent="0.25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3:23" x14ac:dyDescent="0.25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3:23" x14ac:dyDescent="0.25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3:23" x14ac:dyDescent="0.25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3:23" x14ac:dyDescent="0.25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3:23" x14ac:dyDescent="0.25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3:23" x14ac:dyDescent="0.25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3:23" x14ac:dyDescent="0.25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3:23" x14ac:dyDescent="0.25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3:23" x14ac:dyDescent="0.25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3:23" x14ac:dyDescent="0.25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3:23" x14ac:dyDescent="0.25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3:23" x14ac:dyDescent="0.25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3:23" x14ac:dyDescent="0.25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Schiozer</dc:creator>
  <cp:lastModifiedBy>Nikolas Schiozer</cp:lastModifiedBy>
  <dcterms:created xsi:type="dcterms:W3CDTF">2026-08-23T23:10:42Z</dcterms:created>
  <dcterms:modified xsi:type="dcterms:W3CDTF">2026-08-24T00:01:47Z</dcterms:modified>
</cp:coreProperties>
</file>