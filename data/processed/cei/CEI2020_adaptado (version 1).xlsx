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chau\Documents\Codex\2026-07-15\crie-uma-tarefa-agendada-chamada-resumo\outputs\ABM BRASIL\"/>
    </mc:Choice>
  </mc:AlternateContent>
  <xr:revisionPtr revIDLastSave="0" documentId="8_{6649E472-B639-4D38-9F79-E7664EE6C647}" xr6:coauthVersionLast="47" xr6:coauthVersionMax="47" xr10:uidLastSave="{00000000-0000-0000-0000-000000000000}"/>
  <bookViews>
    <workbookView xWindow="-120" yWindow="-120" windowWidth="29040" windowHeight="15720" firstSheet="2" activeTab="4" xr2:uid="{3D451E8F-DDEB-4E74-BBEB-F94CEF17849D}"/>
  </bookViews>
  <sheets>
    <sheet name="linhas" sheetId="2" state="hidden" r:id="rId1"/>
    <sheet name="setores" sheetId="1" state="hidden" r:id="rId2"/>
    <sheet name="CEI" sheetId="3" r:id="rId3"/>
    <sheet name="CEIResumida" sheetId="9" r:id="rId4"/>
    <sheet name="Python" sheetId="19" r:id="rId5"/>
    <sheet name="ParâmetrosCEI" sheetId="12" r:id="rId6"/>
    <sheet name="Original" sheetId="10" r:id="rId7"/>
    <sheet name="ParâmeetrosTRU" sheetId="11" r:id="rId8"/>
    <sheet name="Matriz consumo" sheetId="15" r:id="rId9"/>
    <sheet name="SimulCEI" sheetId="14" r:id="rId10"/>
    <sheet name="SimulCEI2" sheetId="17" r:id="rId11"/>
    <sheet name="SimulTRU2" sheetId="18" r:id="rId12"/>
    <sheet name="SimulTRU" sheetId="13" r:id="rId13"/>
    <sheet name="CEI_detalhamento" sheetId="5" r:id="rId14"/>
    <sheet name="Planilha1" sheetId="16" r:id="rId15"/>
  </sheets>
  <definedNames>
    <definedName name="solver_adj" localSheetId="9" hidden="1">SimulCEI!$U$20</definedName>
    <definedName name="solver_adj" localSheetId="10" hidden="1">SimulCEI2!$U$20</definedName>
    <definedName name="solver_cvg" localSheetId="9" hidden="1">0.0001</definedName>
    <definedName name="solver_cvg" localSheetId="10" hidden="1">0.0001</definedName>
    <definedName name="solver_drv" localSheetId="9" hidden="1">1</definedName>
    <definedName name="solver_drv" localSheetId="10" hidden="1">1</definedName>
    <definedName name="solver_eng" localSheetId="9" hidden="1">1</definedName>
    <definedName name="solver_eng" localSheetId="10" hidden="1">1</definedName>
    <definedName name="solver_est" localSheetId="9" hidden="1">1</definedName>
    <definedName name="solver_est" localSheetId="10" hidden="1">1</definedName>
    <definedName name="solver_itr" localSheetId="9" hidden="1">2147483647</definedName>
    <definedName name="solver_itr" localSheetId="10" hidden="1">2147483647</definedName>
    <definedName name="solver_mip" localSheetId="9" hidden="1">2147483647</definedName>
    <definedName name="solver_mip" localSheetId="10" hidden="1">2147483647</definedName>
    <definedName name="solver_mni" localSheetId="9" hidden="1">30</definedName>
    <definedName name="solver_mni" localSheetId="10" hidden="1">30</definedName>
    <definedName name="solver_mrt" localSheetId="9" hidden="1">0.075</definedName>
    <definedName name="solver_mrt" localSheetId="10" hidden="1">0.075</definedName>
    <definedName name="solver_msl" localSheetId="9" hidden="1">2</definedName>
    <definedName name="solver_msl" localSheetId="10" hidden="1">2</definedName>
    <definedName name="solver_neg" localSheetId="9" hidden="1">1</definedName>
    <definedName name="solver_neg" localSheetId="10" hidden="1">1</definedName>
    <definedName name="solver_nod" localSheetId="9" hidden="1">2147483647</definedName>
    <definedName name="solver_nod" localSheetId="10" hidden="1">2147483647</definedName>
    <definedName name="solver_num" localSheetId="9" hidden="1">0</definedName>
    <definedName name="solver_num" localSheetId="10" hidden="1">0</definedName>
    <definedName name="solver_nwt" localSheetId="9" hidden="1">1</definedName>
    <definedName name="solver_nwt" localSheetId="10" hidden="1">1</definedName>
    <definedName name="solver_opt" localSheetId="9" hidden="1">SimulCEI!$AD$20</definedName>
    <definedName name="solver_opt" localSheetId="10" hidden="1">SimulCEI2!$AC$2</definedName>
    <definedName name="solver_pre" localSheetId="9" hidden="1">0.000001</definedName>
    <definedName name="solver_pre" localSheetId="10" hidden="1">0.000001</definedName>
    <definedName name="solver_rbv" localSheetId="9" hidden="1">1</definedName>
    <definedName name="solver_rbv" localSheetId="10" hidden="1">1</definedName>
    <definedName name="solver_rlx" localSheetId="9" hidden="1">2</definedName>
    <definedName name="solver_rlx" localSheetId="10" hidden="1">2</definedName>
    <definedName name="solver_rsd" localSheetId="9" hidden="1">0</definedName>
    <definedName name="solver_rsd" localSheetId="10" hidden="1">0</definedName>
    <definedName name="solver_scl" localSheetId="9" hidden="1">1</definedName>
    <definedName name="solver_scl" localSheetId="10" hidden="1">1</definedName>
    <definedName name="solver_sho" localSheetId="9" hidden="1">2</definedName>
    <definedName name="solver_sho" localSheetId="10" hidden="1">2</definedName>
    <definedName name="solver_ssz" localSheetId="9" hidden="1">100</definedName>
    <definedName name="solver_ssz" localSheetId="10" hidden="1">100</definedName>
    <definedName name="solver_tim" localSheetId="9" hidden="1">2147483647</definedName>
    <definedName name="solver_tim" localSheetId="10" hidden="1">2147483647</definedName>
    <definedName name="solver_tol" localSheetId="9" hidden="1">0.01</definedName>
    <definedName name="solver_tol" localSheetId="10" hidden="1">0.01</definedName>
    <definedName name="solver_typ" localSheetId="9" hidden="1">3</definedName>
    <definedName name="solver_typ" localSheetId="10" hidden="1">3</definedName>
    <definedName name="solver_val" localSheetId="9" hidden="1">0</definedName>
    <definedName name="solver_val" localSheetId="10" hidden="1">0</definedName>
    <definedName name="solver_ver" localSheetId="9" hidden="1">3</definedName>
    <definedName name="solver_ver" localSheetId="10" hidden="1">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9" l="1"/>
  <c r="D54" i="9" s="1"/>
  <c r="D87" i="9" s="1"/>
  <c r="J24" i="19"/>
  <c r="H24" i="19"/>
  <c r="B24" i="19"/>
  <c r="D24" i="19"/>
  <c r="F24" i="19"/>
  <c r="J7" i="9"/>
  <c r="H7" i="9"/>
  <c r="J47" i="9"/>
  <c r="J80" i="9"/>
  <c r="AF53" i="13"/>
  <c r="S19" i="14"/>
  <c r="AF53" i="18"/>
  <c r="AF51" i="18"/>
  <c r="S19" i="17"/>
  <c r="AB42" i="10"/>
  <c r="D18" i="11"/>
  <c r="S38" i="14"/>
  <c r="E23" i="17"/>
  <c r="D24" i="17"/>
  <c r="C23" i="17"/>
  <c r="C24" i="17"/>
  <c r="C25" i="17"/>
  <c r="C26" i="17"/>
  <c r="D26" i="17"/>
  <c r="C27" i="17"/>
  <c r="D27" i="17"/>
  <c r="E24" i="17"/>
  <c r="F24" i="17"/>
  <c r="E25" i="17"/>
  <c r="F25" i="17"/>
  <c r="E26" i="17"/>
  <c r="F26" i="17"/>
  <c r="E27" i="17"/>
  <c r="F27" i="17"/>
  <c r="C10" i="17"/>
  <c r="C11" i="17"/>
  <c r="D11" i="17"/>
  <c r="E11" i="17"/>
  <c r="C12" i="17"/>
  <c r="D12" i="17"/>
  <c r="E12" i="17"/>
  <c r="C13" i="17"/>
  <c r="D13" i="17"/>
  <c r="E13" i="17"/>
  <c r="D14" i="17"/>
  <c r="E14" i="17"/>
  <c r="C15" i="17"/>
  <c r="D15" i="17"/>
  <c r="E15" i="17"/>
  <c r="C16" i="17"/>
  <c r="D16" i="17"/>
  <c r="E16" i="17"/>
  <c r="C17" i="17"/>
  <c r="D17" i="17"/>
  <c r="E17" i="17"/>
  <c r="C18" i="17"/>
  <c r="D18" i="17"/>
  <c r="E18" i="17"/>
  <c r="C19" i="17"/>
  <c r="D19" i="17"/>
  <c r="E19" i="17"/>
  <c r="C20" i="17"/>
  <c r="D20" i="17"/>
  <c r="E20" i="17"/>
  <c r="C21" i="17"/>
  <c r="D21" i="17"/>
  <c r="E21" i="17"/>
  <c r="C22" i="17"/>
  <c r="D22" i="17"/>
  <c r="E22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G11" i="17"/>
  <c r="G12" i="17"/>
  <c r="I8" i="17"/>
  <c r="I9" i="17"/>
  <c r="I10" i="17"/>
  <c r="I11" i="17"/>
  <c r="I12" i="17"/>
  <c r="G13" i="17"/>
  <c r="H13" i="17"/>
  <c r="I13" i="17"/>
  <c r="J13" i="17"/>
  <c r="G14" i="17"/>
  <c r="H14" i="17"/>
  <c r="I14" i="17"/>
  <c r="J14" i="17"/>
  <c r="G15" i="17"/>
  <c r="H15" i="17"/>
  <c r="I15" i="17"/>
  <c r="J15" i="17"/>
  <c r="G16" i="17"/>
  <c r="H16" i="17"/>
  <c r="I16" i="17"/>
  <c r="J16" i="17"/>
  <c r="G17" i="17"/>
  <c r="H17" i="17"/>
  <c r="I17" i="17"/>
  <c r="J17" i="17"/>
  <c r="G18" i="17"/>
  <c r="H18" i="17"/>
  <c r="I18" i="17"/>
  <c r="J18" i="17"/>
  <c r="G19" i="17"/>
  <c r="H19" i="17"/>
  <c r="I19" i="17"/>
  <c r="J19" i="17"/>
  <c r="G20" i="17"/>
  <c r="H20" i="17"/>
  <c r="I20" i="17"/>
  <c r="J20" i="17"/>
  <c r="G21" i="17"/>
  <c r="H21" i="17"/>
  <c r="I21" i="17"/>
  <c r="J21" i="17"/>
  <c r="G22" i="17"/>
  <c r="H22" i="17"/>
  <c r="I22" i="17"/>
  <c r="J22" i="17"/>
  <c r="G23" i="17"/>
  <c r="H23" i="17"/>
  <c r="I23" i="17"/>
  <c r="J23" i="17"/>
  <c r="G24" i="17"/>
  <c r="H24" i="17"/>
  <c r="I24" i="17"/>
  <c r="J24" i="17"/>
  <c r="G25" i="17"/>
  <c r="H25" i="17"/>
  <c r="I25" i="17"/>
  <c r="J25" i="17"/>
  <c r="G26" i="17"/>
  <c r="H26" i="17"/>
  <c r="I26" i="17"/>
  <c r="J26" i="17"/>
  <c r="G27" i="17"/>
  <c r="H27" i="17"/>
  <c r="I27" i="17"/>
  <c r="J27" i="17"/>
  <c r="K9" i="17"/>
  <c r="L9" i="17"/>
  <c r="K10" i="17"/>
  <c r="L10" i="17"/>
  <c r="K11" i="17"/>
  <c r="L11" i="17"/>
  <c r="K12" i="17"/>
  <c r="L12" i="17"/>
  <c r="K13" i="17"/>
  <c r="L13" i="17"/>
  <c r="K14" i="17"/>
  <c r="L14" i="17"/>
  <c r="K15" i="17"/>
  <c r="L15" i="17"/>
  <c r="K16" i="17"/>
  <c r="L16" i="17"/>
  <c r="K17" i="17"/>
  <c r="L17" i="17"/>
  <c r="K18" i="17"/>
  <c r="L18" i="17"/>
  <c r="K19" i="17"/>
  <c r="L19" i="17"/>
  <c r="K20" i="17"/>
  <c r="L20" i="17"/>
  <c r="K21" i="17"/>
  <c r="L21" i="17"/>
  <c r="K22" i="17"/>
  <c r="L22" i="17"/>
  <c r="K23" i="17"/>
  <c r="L23" i="17"/>
  <c r="K24" i="17"/>
  <c r="L24" i="17"/>
  <c r="K25" i="17"/>
  <c r="L25" i="17"/>
  <c r="K26" i="17"/>
  <c r="L26" i="17"/>
  <c r="K27" i="17"/>
  <c r="L27" i="17"/>
  <c r="K8" i="17"/>
  <c r="L8" i="17"/>
  <c r="J10" i="17"/>
  <c r="H10" i="17"/>
  <c r="G8" i="17"/>
  <c r="G9" i="17"/>
  <c r="G10" i="17"/>
  <c r="D8" i="17"/>
  <c r="E8" i="17"/>
  <c r="F8" i="17"/>
  <c r="D9" i="17"/>
  <c r="E9" i="17"/>
  <c r="F9" i="17"/>
  <c r="D10" i="17"/>
  <c r="E10" i="17"/>
  <c r="F10" i="17"/>
  <c r="J7" i="17"/>
  <c r="H7" i="17"/>
  <c r="D7" i="17"/>
  <c r="E7" i="17"/>
  <c r="F7" i="17"/>
  <c r="C7" i="17"/>
  <c r="AE19" i="14"/>
  <c r="X12" i="14"/>
  <c r="D26" i="14"/>
  <c r="D27" i="14"/>
  <c r="J13" i="14"/>
  <c r="J14" i="14"/>
  <c r="J10" i="14"/>
  <c r="F25" i="14"/>
  <c r="G25" i="14"/>
  <c r="H25" i="14"/>
  <c r="F26" i="14"/>
  <c r="G26" i="14"/>
  <c r="H26" i="14"/>
  <c r="F27" i="14"/>
  <c r="G27" i="14"/>
  <c r="H27" i="14"/>
  <c r="E20" i="14"/>
  <c r="E21" i="14"/>
  <c r="E22" i="14"/>
  <c r="E23" i="14"/>
  <c r="E24" i="14"/>
  <c r="E25" i="14"/>
  <c r="E26" i="14"/>
  <c r="E27" i="14"/>
  <c r="E19" i="14"/>
  <c r="E13" i="14"/>
  <c r="E14" i="14"/>
  <c r="E15" i="14"/>
  <c r="E16" i="14"/>
  <c r="E17" i="14"/>
  <c r="K8" i="14"/>
  <c r="L8" i="14"/>
  <c r="K9" i="14"/>
  <c r="L9" i="14"/>
  <c r="K10" i="14"/>
  <c r="L10" i="14"/>
  <c r="K11" i="14"/>
  <c r="L11" i="14"/>
  <c r="K12" i="14"/>
  <c r="L12" i="14"/>
  <c r="K13" i="14"/>
  <c r="L13" i="14"/>
  <c r="K14" i="14"/>
  <c r="L14" i="14"/>
  <c r="K15" i="14"/>
  <c r="L15" i="14"/>
  <c r="K16" i="14"/>
  <c r="L16" i="14"/>
  <c r="K17" i="14"/>
  <c r="L17" i="14"/>
  <c r="J18" i="14"/>
  <c r="K18" i="14"/>
  <c r="L18" i="14"/>
  <c r="J19" i="14"/>
  <c r="K19" i="14"/>
  <c r="L19" i="14"/>
  <c r="J20" i="14"/>
  <c r="K20" i="14"/>
  <c r="L20" i="14"/>
  <c r="J21" i="14"/>
  <c r="K21" i="14"/>
  <c r="L21" i="14"/>
  <c r="J22" i="14"/>
  <c r="K22" i="14"/>
  <c r="L22" i="14"/>
  <c r="J23" i="14"/>
  <c r="K23" i="14"/>
  <c r="L23" i="14"/>
  <c r="J24" i="14"/>
  <c r="K24" i="14"/>
  <c r="L24" i="14"/>
  <c r="J25" i="14"/>
  <c r="K25" i="14"/>
  <c r="L25" i="14"/>
  <c r="J26" i="14"/>
  <c r="K26" i="14"/>
  <c r="L26" i="14"/>
  <c r="J27" i="14"/>
  <c r="K27" i="14"/>
  <c r="L27" i="14"/>
  <c r="I18" i="14"/>
  <c r="I19" i="14"/>
  <c r="I20" i="14"/>
  <c r="I21" i="14"/>
  <c r="I22" i="14"/>
  <c r="I23" i="14"/>
  <c r="I24" i="14"/>
  <c r="I25" i="14"/>
  <c r="I26" i="14"/>
  <c r="I27" i="14"/>
  <c r="I8" i="14"/>
  <c r="I9" i="14"/>
  <c r="I10" i="14"/>
  <c r="I11" i="14"/>
  <c r="I12" i="14"/>
  <c r="I13" i="14"/>
  <c r="I14" i="14"/>
  <c r="I15" i="14"/>
  <c r="J15" i="14"/>
  <c r="I16" i="14"/>
  <c r="J16" i="14"/>
  <c r="I17" i="14"/>
  <c r="J17" i="14"/>
  <c r="H10" i="14"/>
  <c r="G8" i="14"/>
  <c r="G9" i="14"/>
  <c r="G10" i="14"/>
  <c r="G11" i="14"/>
  <c r="G12" i="14"/>
  <c r="G13" i="14"/>
  <c r="H13" i="14"/>
  <c r="G14" i="14"/>
  <c r="H14" i="14"/>
  <c r="G15" i="14"/>
  <c r="H15" i="14"/>
  <c r="G16" i="14"/>
  <c r="H16" i="14"/>
  <c r="G17" i="14"/>
  <c r="H17" i="14"/>
  <c r="G18" i="14"/>
  <c r="H18" i="14"/>
  <c r="G19" i="14"/>
  <c r="H19" i="14"/>
  <c r="G20" i="14"/>
  <c r="H20" i="14"/>
  <c r="G21" i="14"/>
  <c r="H21" i="14"/>
  <c r="G22" i="14"/>
  <c r="H22" i="14"/>
  <c r="G23" i="14"/>
  <c r="H23" i="14"/>
  <c r="D24" i="14"/>
  <c r="F24" i="14"/>
  <c r="G24" i="14"/>
  <c r="H24" i="14"/>
  <c r="C23" i="14"/>
  <c r="C24" i="14"/>
  <c r="C25" i="14"/>
  <c r="C26" i="14"/>
  <c r="C27" i="14"/>
  <c r="C10" i="14"/>
  <c r="C11" i="14"/>
  <c r="C12" i="14"/>
  <c r="C13" i="14"/>
  <c r="C15" i="14"/>
  <c r="C16" i="14"/>
  <c r="C17" i="14"/>
  <c r="C18" i="14"/>
  <c r="C19" i="14"/>
  <c r="C20" i="14"/>
  <c r="C21" i="14"/>
  <c r="C22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8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E8" i="14"/>
  <c r="F8" i="14"/>
  <c r="E9" i="14"/>
  <c r="F9" i="14"/>
  <c r="E10" i="14"/>
  <c r="F10" i="14"/>
  <c r="D7" i="14"/>
  <c r="E7" i="14"/>
  <c r="F7" i="14"/>
  <c r="C7" i="14"/>
  <c r="D176" i="9"/>
  <c r="L27" i="12"/>
  <c r="K27" i="12"/>
  <c r="J27" i="12"/>
  <c r="I27" i="12"/>
  <c r="G27" i="12"/>
  <c r="F27" i="12"/>
  <c r="E27" i="12"/>
  <c r="C27" i="12"/>
  <c r="H24" i="12"/>
  <c r="F24" i="12"/>
  <c r="C24" i="12"/>
  <c r="K22" i="12"/>
  <c r="I22" i="12"/>
  <c r="G22" i="12"/>
  <c r="F22" i="12"/>
  <c r="D22" i="12"/>
  <c r="F18" i="12"/>
  <c r="L14" i="12"/>
  <c r="I14" i="12"/>
  <c r="G14" i="12"/>
  <c r="E14" i="12"/>
  <c r="D14" i="12"/>
  <c r="F12" i="12"/>
  <c r="D12" i="12"/>
  <c r="F10" i="12"/>
  <c r="C10" i="12"/>
  <c r="F9" i="12"/>
  <c r="D9" i="12"/>
  <c r="L8" i="12"/>
  <c r="K8" i="12"/>
  <c r="F8" i="12"/>
  <c r="D8" i="12"/>
  <c r="E7" i="12"/>
  <c r="C7" i="12"/>
  <c r="E165" i="9"/>
  <c r="F165" i="9"/>
  <c r="H165" i="9"/>
  <c r="J165" i="9"/>
  <c r="M165" i="9"/>
  <c r="E23" i="9"/>
  <c r="J78" i="3"/>
  <c r="D177" i="9"/>
  <c r="E177" i="9"/>
  <c r="F177" i="9"/>
  <c r="G177" i="9"/>
  <c r="H177" i="9"/>
  <c r="I177" i="9"/>
  <c r="J177" i="9"/>
  <c r="K177" i="9"/>
  <c r="L177" i="9"/>
  <c r="M177" i="9"/>
  <c r="E179" i="9"/>
  <c r="F179" i="9"/>
  <c r="G179" i="9"/>
  <c r="H179" i="9"/>
  <c r="J179" i="9"/>
  <c r="K179" i="9"/>
  <c r="L179" i="9"/>
  <c r="M179" i="9"/>
  <c r="D180" i="9"/>
  <c r="E180" i="9"/>
  <c r="F180" i="9"/>
  <c r="G180" i="9"/>
  <c r="H180" i="9"/>
  <c r="I180" i="9"/>
  <c r="J180" i="9"/>
  <c r="K180" i="9"/>
  <c r="L180" i="9"/>
  <c r="M180" i="9"/>
  <c r="D181" i="9"/>
  <c r="E181" i="9"/>
  <c r="F181" i="9"/>
  <c r="G181" i="9"/>
  <c r="H181" i="9"/>
  <c r="I181" i="9"/>
  <c r="J181" i="9"/>
  <c r="K181" i="9"/>
  <c r="L181" i="9"/>
  <c r="M181" i="9"/>
  <c r="N181" i="9"/>
  <c r="K116" i="9"/>
  <c r="J116" i="9"/>
  <c r="J135" i="3"/>
  <c r="N146" i="9"/>
  <c r="N145" i="9"/>
  <c r="N142" i="9"/>
  <c r="D139" i="9"/>
  <c r="E139" i="9"/>
  <c r="F139" i="9"/>
  <c r="G139" i="9"/>
  <c r="M132" i="9"/>
  <c r="M131" i="9"/>
  <c r="M130" i="9"/>
  <c r="M129" i="9"/>
  <c r="M128" i="9"/>
  <c r="M127" i="9"/>
  <c r="M126" i="9"/>
  <c r="M125" i="9"/>
  <c r="L132" i="9"/>
  <c r="L131" i="9"/>
  <c r="L130" i="9"/>
  <c r="L129" i="9"/>
  <c r="L128" i="9"/>
  <c r="L127" i="9"/>
  <c r="L126" i="9"/>
  <c r="L125" i="9"/>
  <c r="K130" i="9"/>
  <c r="K129" i="9"/>
  <c r="K128" i="9"/>
  <c r="K127" i="9"/>
  <c r="K126" i="9"/>
  <c r="K125" i="9"/>
  <c r="K132" i="9"/>
  <c r="K131" i="9"/>
  <c r="J132" i="9"/>
  <c r="J131" i="9"/>
  <c r="J130" i="9"/>
  <c r="J129" i="9"/>
  <c r="J128" i="9"/>
  <c r="J127" i="9"/>
  <c r="J126" i="9"/>
  <c r="J125" i="9"/>
  <c r="I132" i="9"/>
  <c r="I131" i="9"/>
  <c r="I130" i="9"/>
  <c r="I129" i="9"/>
  <c r="I128" i="9"/>
  <c r="I127" i="9"/>
  <c r="I126" i="9"/>
  <c r="I125" i="9"/>
  <c r="H132" i="9"/>
  <c r="H131" i="9"/>
  <c r="H130" i="9"/>
  <c r="H129" i="9"/>
  <c r="H128" i="9"/>
  <c r="H127" i="9"/>
  <c r="H125" i="9"/>
  <c r="H126" i="9"/>
  <c r="G132" i="9"/>
  <c r="G129" i="9"/>
  <c r="G128" i="9"/>
  <c r="G127" i="9"/>
  <c r="G126" i="9"/>
  <c r="F132" i="9"/>
  <c r="F141" i="9" s="1"/>
  <c r="F131" i="9"/>
  <c r="F130" i="9"/>
  <c r="F129" i="9"/>
  <c r="F128" i="9"/>
  <c r="F127" i="9"/>
  <c r="F126" i="9"/>
  <c r="F140" i="9" s="1"/>
  <c r="E132" i="9"/>
  <c r="E131" i="9"/>
  <c r="E128" i="9"/>
  <c r="S18" i="17"/>
  <c r="X8" i="17"/>
  <c r="U14" i="17"/>
  <c r="BI39" i="18"/>
  <c r="BJ39" i="18"/>
  <c r="BK39" i="18"/>
  <c r="BL39" i="18"/>
  <c r="BM39" i="18"/>
  <c r="BN39" i="18"/>
  <c r="BO39" i="18"/>
  <c r="BP39" i="18"/>
  <c r="BQ39" i="18"/>
  <c r="BR39" i="18"/>
  <c r="BS39" i="18"/>
  <c r="BI40" i="18"/>
  <c r="BJ40" i="18"/>
  <c r="BK40" i="18"/>
  <c r="BL40" i="18"/>
  <c r="BM40" i="18"/>
  <c r="BN40" i="18"/>
  <c r="BO40" i="18"/>
  <c r="BP40" i="18"/>
  <c r="BQ40" i="18"/>
  <c r="BR40" i="18"/>
  <c r="BS40" i="18"/>
  <c r="BI41" i="18"/>
  <c r="BJ41" i="18"/>
  <c r="BK41" i="18"/>
  <c r="BL41" i="18"/>
  <c r="BM41" i="18"/>
  <c r="BN41" i="18"/>
  <c r="BO41" i="18"/>
  <c r="BP41" i="18"/>
  <c r="BQ41" i="18"/>
  <c r="BR41" i="18"/>
  <c r="BS41" i="18"/>
  <c r="BI42" i="18"/>
  <c r="BJ42" i="18"/>
  <c r="BK42" i="18"/>
  <c r="BL42" i="18"/>
  <c r="BM42" i="18"/>
  <c r="BN42" i="18"/>
  <c r="BO42" i="18"/>
  <c r="BP42" i="18"/>
  <c r="BQ42" i="18"/>
  <c r="BR42" i="18"/>
  <c r="BS42" i="18"/>
  <c r="BI43" i="18"/>
  <c r="BJ43" i="18"/>
  <c r="BK43" i="18"/>
  <c r="BL43" i="18"/>
  <c r="BM43" i="18"/>
  <c r="BN43" i="18"/>
  <c r="BO43" i="18"/>
  <c r="BP43" i="18"/>
  <c r="BQ43" i="18"/>
  <c r="BR43" i="18"/>
  <c r="BS43" i="18"/>
  <c r="BI44" i="18"/>
  <c r="BJ44" i="18"/>
  <c r="BK44" i="18"/>
  <c r="BL44" i="18"/>
  <c r="BM44" i="18"/>
  <c r="BN44" i="18"/>
  <c r="BO44" i="18"/>
  <c r="BP44" i="18"/>
  <c r="BQ44" i="18"/>
  <c r="BR44" i="18"/>
  <c r="BS44" i="18"/>
  <c r="BI45" i="18"/>
  <c r="BJ45" i="18"/>
  <c r="BK45" i="18"/>
  <c r="BL45" i="18"/>
  <c r="BM45" i="18"/>
  <c r="BN45" i="18"/>
  <c r="BO45" i="18"/>
  <c r="BP45" i="18"/>
  <c r="BQ45" i="18"/>
  <c r="BR45" i="18"/>
  <c r="BS45" i="18"/>
  <c r="BI46" i="18"/>
  <c r="BJ46" i="18"/>
  <c r="BK46" i="18"/>
  <c r="BL46" i="18"/>
  <c r="BM46" i="18"/>
  <c r="BN46" i="18"/>
  <c r="BO46" i="18"/>
  <c r="BP46" i="18"/>
  <c r="BQ46" i="18"/>
  <c r="BR46" i="18"/>
  <c r="BS46" i="18"/>
  <c r="BI47" i="18"/>
  <c r="BJ47" i="18"/>
  <c r="BK47" i="18"/>
  <c r="BL47" i="18"/>
  <c r="BM47" i="18"/>
  <c r="BN47" i="18"/>
  <c r="BO47" i="18"/>
  <c r="BP47" i="18"/>
  <c r="BQ47" i="18"/>
  <c r="BR47" i="18"/>
  <c r="BS47" i="18"/>
  <c r="BI48" i="18"/>
  <c r="BJ48" i="18"/>
  <c r="BK48" i="18"/>
  <c r="BL48" i="18"/>
  <c r="BM48" i="18"/>
  <c r="BN48" i="18"/>
  <c r="BO48" i="18"/>
  <c r="BP48" i="18"/>
  <c r="BQ48" i="18"/>
  <c r="BR48" i="18"/>
  <c r="BS48" i="18"/>
  <c r="BI49" i="18"/>
  <c r="BJ49" i="18"/>
  <c r="BK49" i="18"/>
  <c r="BL49" i="18"/>
  <c r="BM49" i="18"/>
  <c r="BN49" i="18"/>
  <c r="BO49" i="18"/>
  <c r="BP49" i="18"/>
  <c r="BQ49" i="18"/>
  <c r="BR49" i="18"/>
  <c r="BS49" i="18"/>
  <c r="BI50" i="18"/>
  <c r="BJ50" i="18"/>
  <c r="BK50" i="18"/>
  <c r="BL50" i="18"/>
  <c r="BM50" i="18"/>
  <c r="BN50" i="18"/>
  <c r="BO50" i="18"/>
  <c r="BP50" i="18"/>
  <c r="BQ50" i="18"/>
  <c r="BR50" i="18"/>
  <c r="BS50" i="18"/>
  <c r="BH40" i="18"/>
  <c r="BH41" i="18"/>
  <c r="BH42" i="18"/>
  <c r="BH43" i="18"/>
  <c r="BH44" i="18"/>
  <c r="BH45" i="18"/>
  <c r="BH46" i="18"/>
  <c r="BH47" i="18"/>
  <c r="BH48" i="18"/>
  <c r="BH49" i="18"/>
  <c r="BH50" i="18"/>
  <c r="BH39" i="18"/>
  <c r="K72" i="18" a="1"/>
  <c r="W70" i="18"/>
  <c r="I64" i="18"/>
  <c r="CI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CI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CI48" i="18"/>
  <c r="AS48" i="18"/>
  <c r="AR48" i="18"/>
  <c r="AQ48" i="18"/>
  <c r="AP48" i="18"/>
  <c r="AO48" i="18"/>
  <c r="AN48" i="18"/>
  <c r="AM48" i="18"/>
  <c r="AL48" i="18"/>
  <c r="AK48" i="18"/>
  <c r="AJ48" i="18"/>
  <c r="AI48" i="18"/>
  <c r="AH48" i="18"/>
  <c r="CI47" i="18"/>
  <c r="AS47" i="18"/>
  <c r="AR47" i="18"/>
  <c r="AQ47" i="18"/>
  <c r="AP47" i="18"/>
  <c r="AO47" i="18"/>
  <c r="AN47" i="18"/>
  <c r="AM47" i="18"/>
  <c r="AL47" i="18"/>
  <c r="AK47" i="18"/>
  <c r="AJ47" i="18"/>
  <c r="AI47" i="18"/>
  <c r="AH47" i="18"/>
  <c r="CI46" i="18"/>
  <c r="AS46" i="18"/>
  <c r="AR46" i="18"/>
  <c r="AQ46" i="18"/>
  <c r="AP46" i="18"/>
  <c r="AO46" i="18"/>
  <c r="AN46" i="18"/>
  <c r="AM46" i="18"/>
  <c r="AL46" i="18"/>
  <c r="AK46" i="18"/>
  <c r="AJ46" i="18"/>
  <c r="AI46" i="18"/>
  <c r="AH46" i="18"/>
  <c r="CI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CI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CI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CI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CI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CI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P71" i="17"/>
  <c r="AF39" i="17"/>
  <c r="W39" i="17"/>
  <c r="V39" i="17"/>
  <c r="AI38" i="17"/>
  <c r="AH38" i="17"/>
  <c r="AF38" i="17"/>
  <c r="R38" i="17"/>
  <c r="AI37" i="17"/>
  <c r="AH37" i="17"/>
  <c r="AF37" i="17"/>
  <c r="R37" i="17"/>
  <c r="AI36" i="17"/>
  <c r="AH36" i="17"/>
  <c r="AF36" i="17"/>
  <c r="S36" i="17"/>
  <c r="R36" i="17"/>
  <c r="AI35" i="17"/>
  <c r="AH35" i="17"/>
  <c r="AF35" i="17"/>
  <c r="S35" i="17"/>
  <c r="R35" i="17"/>
  <c r="AI34" i="17"/>
  <c r="AH34" i="17"/>
  <c r="AF34" i="17"/>
  <c r="S34" i="17"/>
  <c r="R34" i="17"/>
  <c r="AI33" i="17"/>
  <c r="AH33" i="17"/>
  <c r="AF33" i="17"/>
  <c r="S33" i="17"/>
  <c r="R33" i="17"/>
  <c r="AI32" i="17"/>
  <c r="AH32" i="17"/>
  <c r="AF32" i="17"/>
  <c r="S32" i="17"/>
  <c r="R32" i="17"/>
  <c r="AI31" i="17"/>
  <c r="AH31" i="17"/>
  <c r="AF31" i="17"/>
  <c r="S31" i="17"/>
  <c r="R31" i="17"/>
  <c r="AI30" i="17"/>
  <c r="AH30" i="17"/>
  <c r="AF30" i="17"/>
  <c r="S30" i="17"/>
  <c r="R30" i="17"/>
  <c r="AI29" i="17"/>
  <c r="AH29" i="17"/>
  <c r="AF29" i="17"/>
  <c r="S29" i="17"/>
  <c r="M29" i="17"/>
  <c r="AI28" i="17"/>
  <c r="AH28" i="17"/>
  <c r="AF28" i="17"/>
  <c r="S28" i="17"/>
  <c r="AI27" i="17"/>
  <c r="AH27" i="17"/>
  <c r="AF27" i="17"/>
  <c r="S27" i="17"/>
  <c r="R27" i="17"/>
  <c r="O27" i="17"/>
  <c r="W20" i="17"/>
  <c r="V20" i="17"/>
  <c r="T20" i="17"/>
  <c r="AI19" i="17"/>
  <c r="AH19" i="17"/>
  <c r="AF19" i="17"/>
  <c r="AD19" i="17"/>
  <c r="AI18" i="17"/>
  <c r="AH18" i="17"/>
  <c r="AF18" i="17"/>
  <c r="AD18" i="17"/>
  <c r="AI17" i="17"/>
  <c r="AH17" i="17"/>
  <c r="AF17" i="17"/>
  <c r="AE17" i="17"/>
  <c r="AD17" i="17"/>
  <c r="X17" i="17"/>
  <c r="AI16" i="17"/>
  <c r="AH16" i="17"/>
  <c r="AF16" i="17"/>
  <c r="AE16" i="17"/>
  <c r="AD16" i="17"/>
  <c r="X16" i="17"/>
  <c r="AI15" i="17"/>
  <c r="AH15" i="17"/>
  <c r="AF15" i="17"/>
  <c r="AE15" i="17"/>
  <c r="AD15" i="17"/>
  <c r="X15" i="17"/>
  <c r="AI14" i="17"/>
  <c r="AH14" i="17"/>
  <c r="AF14" i="17"/>
  <c r="AE14" i="17"/>
  <c r="AD14" i="17"/>
  <c r="X14" i="17"/>
  <c r="AI13" i="17"/>
  <c r="AH13" i="17"/>
  <c r="AF13" i="17"/>
  <c r="AE13" i="17"/>
  <c r="AD13" i="17"/>
  <c r="X13" i="17"/>
  <c r="AI12" i="17"/>
  <c r="AH12" i="17"/>
  <c r="AF12" i="17"/>
  <c r="AE12" i="17"/>
  <c r="AD12" i="17"/>
  <c r="X12" i="17"/>
  <c r="AI11" i="17"/>
  <c r="AH11" i="17"/>
  <c r="AF11" i="17"/>
  <c r="AE11" i="17"/>
  <c r="AD11" i="17"/>
  <c r="X11" i="17"/>
  <c r="AI10" i="17"/>
  <c r="AH10" i="17"/>
  <c r="AF10" i="17"/>
  <c r="AE10" i="17"/>
  <c r="R10" i="17"/>
  <c r="AI9" i="17"/>
  <c r="AH9" i="17"/>
  <c r="AF9" i="17"/>
  <c r="AE9" i="17"/>
  <c r="R9" i="17"/>
  <c r="AI8" i="17"/>
  <c r="AH8" i="17"/>
  <c r="AF8" i="17"/>
  <c r="AE8" i="17"/>
  <c r="AD8" i="17"/>
  <c r="D4" i="16"/>
  <c r="P71" i="14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I39" i="13"/>
  <c r="AJ39" i="13"/>
  <c r="AK39" i="13"/>
  <c r="AL39" i="13"/>
  <c r="AM39" i="13"/>
  <c r="AN39" i="13"/>
  <c r="AO39" i="13"/>
  <c r="AP39" i="13"/>
  <c r="AQ39" i="13"/>
  <c r="AR39" i="13"/>
  <c r="AS39" i="13"/>
  <c r="AH39" i="13"/>
  <c r="AF51" i="13"/>
  <c r="S18" i="14"/>
  <c r="O27" i="14"/>
  <c r="BH40" i="13"/>
  <c r="BI40" i="13"/>
  <c r="BJ40" i="13"/>
  <c r="BK40" i="13"/>
  <c r="BL40" i="13"/>
  <c r="BM40" i="13"/>
  <c r="BN40" i="13"/>
  <c r="BO40" i="13"/>
  <c r="BP40" i="13"/>
  <c r="BQ40" i="13"/>
  <c r="BR40" i="13"/>
  <c r="BS40" i="13"/>
  <c r="BH41" i="13"/>
  <c r="BI41" i="13"/>
  <c r="BJ41" i="13"/>
  <c r="BK41" i="13"/>
  <c r="BL41" i="13"/>
  <c r="BM41" i="13"/>
  <c r="BN41" i="13"/>
  <c r="BO41" i="13"/>
  <c r="BP41" i="13"/>
  <c r="BQ41" i="13"/>
  <c r="BR41" i="13"/>
  <c r="BS41" i="13"/>
  <c r="BH42" i="13"/>
  <c r="BI42" i="13"/>
  <c r="BJ42" i="13"/>
  <c r="BL42" i="13"/>
  <c r="BM42" i="13"/>
  <c r="BN42" i="13"/>
  <c r="BO42" i="13"/>
  <c r="BP42" i="13"/>
  <c r="BQ42" i="13"/>
  <c r="BR42" i="13"/>
  <c r="BS42" i="13"/>
  <c r="BH43" i="13"/>
  <c r="BI43" i="13"/>
  <c r="BJ43" i="13"/>
  <c r="BK43" i="13"/>
  <c r="BL43" i="13"/>
  <c r="BM43" i="13"/>
  <c r="BN43" i="13"/>
  <c r="BO43" i="13"/>
  <c r="BP43" i="13"/>
  <c r="BQ43" i="13"/>
  <c r="BR43" i="13"/>
  <c r="BS43" i="13"/>
  <c r="BH44" i="13"/>
  <c r="BI44" i="13"/>
  <c r="BJ44" i="13"/>
  <c r="BK44" i="13"/>
  <c r="BL44" i="13"/>
  <c r="BM44" i="13"/>
  <c r="BN44" i="13"/>
  <c r="BO44" i="13"/>
  <c r="BP44" i="13"/>
  <c r="BQ44" i="13"/>
  <c r="BR44" i="13"/>
  <c r="BS44" i="13"/>
  <c r="BH45" i="13"/>
  <c r="BI45" i="13"/>
  <c r="BJ45" i="13"/>
  <c r="BK45" i="13"/>
  <c r="BL45" i="13"/>
  <c r="BM45" i="13"/>
  <c r="BN45" i="13"/>
  <c r="BO45" i="13"/>
  <c r="BP45" i="13"/>
  <c r="BQ45" i="13"/>
  <c r="BR45" i="13"/>
  <c r="BS45" i="13"/>
  <c r="BH46" i="13"/>
  <c r="BI46" i="13"/>
  <c r="BJ46" i="13"/>
  <c r="BK46" i="13"/>
  <c r="BL46" i="13"/>
  <c r="BM46" i="13"/>
  <c r="BN46" i="13"/>
  <c r="BO46" i="13"/>
  <c r="BP46" i="13"/>
  <c r="BQ46" i="13"/>
  <c r="BR46" i="13"/>
  <c r="BS46" i="13"/>
  <c r="BH47" i="13"/>
  <c r="BI47" i="13"/>
  <c r="BJ47" i="13"/>
  <c r="BK47" i="13"/>
  <c r="BL47" i="13"/>
  <c r="BM47" i="13"/>
  <c r="BN47" i="13"/>
  <c r="BO47" i="13"/>
  <c r="BP47" i="13"/>
  <c r="BQ47" i="13"/>
  <c r="BR47" i="13"/>
  <c r="BS47" i="13"/>
  <c r="BH48" i="13"/>
  <c r="BI48" i="13"/>
  <c r="BJ48" i="13"/>
  <c r="BK48" i="13"/>
  <c r="BL48" i="13"/>
  <c r="BM48" i="13"/>
  <c r="BN48" i="13"/>
  <c r="BO48" i="13"/>
  <c r="BP48" i="13"/>
  <c r="BQ48" i="13"/>
  <c r="BR48" i="13"/>
  <c r="BS48" i="13"/>
  <c r="BH49" i="13"/>
  <c r="BI49" i="13"/>
  <c r="BJ49" i="13"/>
  <c r="BK49" i="13"/>
  <c r="BL49" i="13"/>
  <c r="BM49" i="13"/>
  <c r="BN49" i="13"/>
  <c r="BO49" i="13"/>
  <c r="BP49" i="13"/>
  <c r="BQ49" i="13"/>
  <c r="BR49" i="13"/>
  <c r="BS49" i="13"/>
  <c r="BH50" i="13"/>
  <c r="BI50" i="13"/>
  <c r="BJ50" i="13"/>
  <c r="BK50" i="13"/>
  <c r="BL50" i="13"/>
  <c r="BM50" i="13"/>
  <c r="BN50" i="13"/>
  <c r="BO50" i="13"/>
  <c r="BP50" i="13"/>
  <c r="BQ50" i="13"/>
  <c r="BR50" i="13"/>
  <c r="BS50" i="13"/>
  <c r="BI39" i="13"/>
  <c r="BJ39" i="13"/>
  <c r="BK39" i="13"/>
  <c r="BL39" i="13"/>
  <c r="BM39" i="13"/>
  <c r="BN39" i="13"/>
  <c r="BO39" i="13"/>
  <c r="BP39" i="13"/>
  <c r="BQ39" i="13"/>
  <c r="BR39" i="13"/>
  <c r="BS39" i="13"/>
  <c r="BH39" i="13"/>
  <c r="CI40" i="13"/>
  <c r="CI41" i="13"/>
  <c r="CI43" i="13"/>
  <c r="CI44" i="13"/>
  <c r="CI45" i="13"/>
  <c r="CI46" i="13"/>
  <c r="CI47" i="13"/>
  <c r="CI48" i="13"/>
  <c r="CI49" i="13"/>
  <c r="CI50" i="13"/>
  <c r="CI39" i="13"/>
  <c r="V20" i="14"/>
  <c r="E13" i="9"/>
  <c r="C18" i="9"/>
  <c r="C15" i="9"/>
  <c r="C16" i="9"/>
  <c r="C17" i="9"/>
  <c r="C14" i="9"/>
  <c r="M13" i="9"/>
  <c r="G13" i="9"/>
  <c r="F13" i="9"/>
  <c r="F53" i="9" s="1"/>
  <c r="F86" i="9" s="1"/>
  <c r="D13" i="9"/>
  <c r="I9" i="9"/>
  <c r="E12" i="9"/>
  <c r="C13" i="9"/>
  <c r="C8" i="9"/>
  <c r="R10" i="14"/>
  <c r="AF27" i="14"/>
  <c r="AH27" i="14"/>
  <c r="AI27" i="14"/>
  <c r="AF28" i="14"/>
  <c r="AH28" i="14"/>
  <c r="AI28" i="14"/>
  <c r="AF29" i="14"/>
  <c r="AH29" i="14"/>
  <c r="AI29" i="14"/>
  <c r="AF30" i="14"/>
  <c r="AH30" i="14"/>
  <c r="AI30" i="14"/>
  <c r="AF31" i="14"/>
  <c r="AH31" i="14"/>
  <c r="AI31" i="14"/>
  <c r="AF32" i="14"/>
  <c r="AH32" i="14"/>
  <c r="AI32" i="14"/>
  <c r="AF33" i="14"/>
  <c r="AH33" i="14"/>
  <c r="AI33" i="14"/>
  <c r="AF34" i="14"/>
  <c r="AH34" i="14"/>
  <c r="AI34" i="14"/>
  <c r="AF35" i="14"/>
  <c r="AH35" i="14"/>
  <c r="AI35" i="14"/>
  <c r="AF36" i="14"/>
  <c r="AH36" i="14"/>
  <c r="AI36" i="14"/>
  <c r="AF37" i="14"/>
  <c r="AH37" i="14"/>
  <c r="AI37" i="14"/>
  <c r="AF38" i="14"/>
  <c r="AH38" i="14"/>
  <c r="AI38" i="14"/>
  <c r="AF39" i="14"/>
  <c r="AE8" i="14"/>
  <c r="AF8" i="14"/>
  <c r="AH8" i="14"/>
  <c r="AI8" i="14"/>
  <c r="AE9" i="14"/>
  <c r="AF9" i="14"/>
  <c r="AH9" i="14"/>
  <c r="AI9" i="14"/>
  <c r="AE10" i="14"/>
  <c r="AF10" i="14"/>
  <c r="AH10" i="14"/>
  <c r="AI10" i="14"/>
  <c r="AE11" i="14"/>
  <c r="AF11" i="14"/>
  <c r="AH11" i="14"/>
  <c r="AI11" i="14"/>
  <c r="AE12" i="14"/>
  <c r="AF12" i="14"/>
  <c r="AH12" i="14"/>
  <c r="AI12" i="14"/>
  <c r="AE13" i="14"/>
  <c r="AF13" i="14"/>
  <c r="AH13" i="14"/>
  <c r="AI13" i="14"/>
  <c r="AE14" i="14"/>
  <c r="AF14" i="14"/>
  <c r="AH14" i="14"/>
  <c r="AI14" i="14"/>
  <c r="AE15" i="14"/>
  <c r="AF15" i="14"/>
  <c r="AH15" i="14"/>
  <c r="AI15" i="14"/>
  <c r="AE16" i="14"/>
  <c r="AF16" i="14"/>
  <c r="AH16" i="14"/>
  <c r="AI16" i="14"/>
  <c r="AE17" i="14"/>
  <c r="AF17" i="14"/>
  <c r="AH17" i="14"/>
  <c r="AI17" i="14"/>
  <c r="AE18" i="14"/>
  <c r="AF18" i="14"/>
  <c r="AH18" i="14"/>
  <c r="AI18" i="14"/>
  <c r="AF19" i="14"/>
  <c r="AH19" i="14"/>
  <c r="AI19" i="14"/>
  <c r="AH20" i="14"/>
  <c r="AD10" i="14"/>
  <c r="AD11" i="14"/>
  <c r="AD12" i="14"/>
  <c r="AD13" i="14"/>
  <c r="AD14" i="14"/>
  <c r="AD15" i="14"/>
  <c r="AD16" i="14"/>
  <c r="AD17" i="14"/>
  <c r="AD18" i="14"/>
  <c r="AD19" i="14"/>
  <c r="AD8" i="14"/>
  <c r="R9" i="14"/>
  <c r="S20" i="14"/>
  <c r="T20" i="14"/>
  <c r="W20" i="14"/>
  <c r="R20" i="14"/>
  <c r="X10" i="14"/>
  <c r="X11" i="14"/>
  <c r="X13" i="14"/>
  <c r="X14" i="14"/>
  <c r="X15" i="14"/>
  <c r="X16" i="14"/>
  <c r="X17" i="14"/>
  <c r="X18" i="14"/>
  <c r="X19" i="14"/>
  <c r="X8" i="14"/>
  <c r="AE40" i="11"/>
  <c r="AE41" i="11"/>
  <c r="AE43" i="11"/>
  <c r="AE44" i="11"/>
  <c r="AE45" i="11"/>
  <c r="AE46" i="11"/>
  <c r="AE47" i="11"/>
  <c r="AE48" i="11"/>
  <c r="AE49" i="11"/>
  <c r="AE50" i="11"/>
  <c r="AE51" i="11"/>
  <c r="AE39" i="11"/>
  <c r="BI39" i="11"/>
  <c r="BJ39" i="11"/>
  <c r="BK39" i="11"/>
  <c r="BL39" i="11"/>
  <c r="BM39" i="11"/>
  <c r="BN39" i="11"/>
  <c r="BO39" i="11"/>
  <c r="BP39" i="11"/>
  <c r="BQ39" i="11"/>
  <c r="BR39" i="11"/>
  <c r="BS39" i="11"/>
  <c r="BI40" i="11"/>
  <c r="BJ40" i="11"/>
  <c r="BK40" i="11"/>
  <c r="BL40" i="11"/>
  <c r="BM40" i="11"/>
  <c r="BN40" i="11"/>
  <c r="BO40" i="11"/>
  <c r="BP40" i="11"/>
  <c r="BQ40" i="11"/>
  <c r="BR40" i="11"/>
  <c r="BS40" i="11"/>
  <c r="BI41" i="11"/>
  <c r="BJ41" i="11"/>
  <c r="BK41" i="11"/>
  <c r="BL41" i="11"/>
  <c r="BM41" i="11"/>
  <c r="BN41" i="11"/>
  <c r="BO41" i="11"/>
  <c r="BP41" i="11"/>
  <c r="BQ41" i="11"/>
  <c r="BR41" i="11"/>
  <c r="BS41" i="11"/>
  <c r="BI42" i="11"/>
  <c r="BJ42" i="11"/>
  <c r="BL42" i="11"/>
  <c r="BM42" i="11"/>
  <c r="BN42" i="11"/>
  <c r="BO42" i="11"/>
  <c r="BP42" i="11"/>
  <c r="BQ42" i="11"/>
  <c r="BR42" i="11"/>
  <c r="BS42" i="11"/>
  <c r="BI43" i="11"/>
  <c r="BJ43" i="11"/>
  <c r="BK43" i="11"/>
  <c r="BL43" i="11"/>
  <c r="BM43" i="11"/>
  <c r="BN43" i="11"/>
  <c r="BO43" i="11"/>
  <c r="BP43" i="11"/>
  <c r="BQ43" i="11"/>
  <c r="BR43" i="11"/>
  <c r="BS43" i="11"/>
  <c r="BI44" i="11"/>
  <c r="BJ44" i="11"/>
  <c r="BK44" i="11"/>
  <c r="BL44" i="11"/>
  <c r="BM44" i="11"/>
  <c r="BN44" i="11"/>
  <c r="BO44" i="11"/>
  <c r="BP44" i="11"/>
  <c r="BQ44" i="11"/>
  <c r="BR44" i="11"/>
  <c r="BS44" i="11"/>
  <c r="BI45" i="11"/>
  <c r="BJ45" i="11"/>
  <c r="BK45" i="11"/>
  <c r="BL45" i="11"/>
  <c r="BM45" i="11"/>
  <c r="BN45" i="11"/>
  <c r="BO45" i="11"/>
  <c r="BP45" i="11"/>
  <c r="BQ45" i="11"/>
  <c r="BR45" i="11"/>
  <c r="BS45" i="11"/>
  <c r="BI46" i="11"/>
  <c r="BJ46" i="11"/>
  <c r="BK46" i="11"/>
  <c r="BL46" i="11"/>
  <c r="BM46" i="11"/>
  <c r="BN46" i="11"/>
  <c r="BO46" i="11"/>
  <c r="BP46" i="11"/>
  <c r="BQ46" i="11"/>
  <c r="BR46" i="11"/>
  <c r="BS46" i="11"/>
  <c r="BI47" i="11"/>
  <c r="BJ47" i="11"/>
  <c r="BK47" i="11"/>
  <c r="BL47" i="11"/>
  <c r="BM47" i="11"/>
  <c r="BN47" i="11"/>
  <c r="BO47" i="11"/>
  <c r="BP47" i="11"/>
  <c r="BQ47" i="11"/>
  <c r="BR47" i="11"/>
  <c r="BS47" i="11"/>
  <c r="BI48" i="11"/>
  <c r="BJ48" i="11"/>
  <c r="BK48" i="11"/>
  <c r="BL48" i="11"/>
  <c r="BM48" i="11"/>
  <c r="BN48" i="11"/>
  <c r="BO48" i="11"/>
  <c r="BP48" i="11"/>
  <c r="BQ48" i="11"/>
  <c r="BR48" i="11"/>
  <c r="BS48" i="11"/>
  <c r="BI49" i="11"/>
  <c r="BJ49" i="11"/>
  <c r="BK49" i="11"/>
  <c r="BL49" i="11"/>
  <c r="BM49" i="11"/>
  <c r="BN49" i="11"/>
  <c r="BO49" i="11"/>
  <c r="BP49" i="11"/>
  <c r="BQ49" i="11"/>
  <c r="BR49" i="11"/>
  <c r="BS49" i="11"/>
  <c r="BI50" i="11"/>
  <c r="BJ50" i="11"/>
  <c r="BK50" i="11"/>
  <c r="BL50" i="11"/>
  <c r="BM50" i="11"/>
  <c r="BN50" i="11"/>
  <c r="BO50" i="11"/>
  <c r="BP50" i="11"/>
  <c r="BQ50" i="11"/>
  <c r="BR50" i="11"/>
  <c r="BS50" i="11"/>
  <c r="BH40" i="11"/>
  <c r="BH41" i="11"/>
  <c r="BH42" i="11"/>
  <c r="BH43" i="11"/>
  <c r="BH44" i="11"/>
  <c r="BH45" i="11"/>
  <c r="BH46" i="11"/>
  <c r="BH47" i="11"/>
  <c r="BH48" i="11"/>
  <c r="BH49" i="11"/>
  <c r="BH50" i="11"/>
  <c r="BH39" i="11"/>
  <c r="AI39" i="11"/>
  <c r="AK39" i="10"/>
  <c r="AK40" i="10"/>
  <c r="AK41" i="10"/>
  <c r="AK43" i="10"/>
  <c r="AK44" i="10"/>
  <c r="AK45" i="10"/>
  <c r="AK46" i="10"/>
  <c r="AK47" i="10"/>
  <c r="AK48" i="10"/>
  <c r="AK49" i="10"/>
  <c r="AK50" i="10"/>
  <c r="AK51" i="10"/>
  <c r="N38" i="15"/>
  <c r="M38" i="15"/>
  <c r="L38" i="15"/>
  <c r="K38" i="15"/>
  <c r="J38" i="15"/>
  <c r="I38" i="15"/>
  <c r="H38" i="15"/>
  <c r="G38" i="15"/>
  <c r="F38" i="15"/>
  <c r="E38" i="15"/>
  <c r="D38" i="15"/>
  <c r="C38" i="15"/>
  <c r="F9" i="15"/>
  <c r="G10" i="15"/>
  <c r="H11" i="15"/>
  <c r="I12" i="15"/>
  <c r="J13" i="15"/>
  <c r="K14" i="15"/>
  <c r="L15" i="15"/>
  <c r="M16" i="15"/>
  <c r="N17" i="15"/>
  <c r="E8" i="15"/>
  <c r="D7" i="15"/>
  <c r="C6" i="15"/>
  <c r="D19" i="15"/>
  <c r="E19" i="15"/>
  <c r="F19" i="15"/>
  <c r="G19" i="15"/>
  <c r="H19" i="15"/>
  <c r="I19" i="15"/>
  <c r="J19" i="15"/>
  <c r="K19" i="15"/>
  <c r="L19" i="15"/>
  <c r="M19" i="15"/>
  <c r="N19" i="15"/>
  <c r="C19" i="15"/>
  <c r="AH49" i="11"/>
  <c r="AH39" i="11"/>
  <c r="AB40" i="10"/>
  <c r="AB41" i="10"/>
  <c r="AB43" i="10"/>
  <c r="AB44" i="10"/>
  <c r="AB45" i="10"/>
  <c r="AB46" i="10"/>
  <c r="AB47" i="10"/>
  <c r="AB48" i="10"/>
  <c r="AB49" i="10"/>
  <c r="AB50" i="10"/>
  <c r="AB51" i="10"/>
  <c r="AB39" i="10"/>
  <c r="AI51" i="10"/>
  <c r="AH51" i="10"/>
  <c r="R29" i="14"/>
  <c r="S29" i="14"/>
  <c r="R28" i="14"/>
  <c r="S28" i="14"/>
  <c r="R30" i="14"/>
  <c r="S30" i="14"/>
  <c r="R31" i="14"/>
  <c r="S31" i="14"/>
  <c r="R32" i="14"/>
  <c r="S32" i="14"/>
  <c r="R33" i="14"/>
  <c r="S33" i="14"/>
  <c r="R34" i="14"/>
  <c r="S34" i="14"/>
  <c r="R35" i="14"/>
  <c r="S35" i="14"/>
  <c r="R36" i="14"/>
  <c r="S36" i="14"/>
  <c r="R37" i="14"/>
  <c r="S37" i="14"/>
  <c r="R38" i="14"/>
  <c r="S27" i="14"/>
  <c r="R27" i="14"/>
  <c r="W39" i="14"/>
  <c r="V39" i="14"/>
  <c r="M29" i="14"/>
  <c r="AH40" i="11"/>
  <c r="AI40" i="11"/>
  <c r="AJ40" i="11"/>
  <c r="AK40" i="11"/>
  <c r="AL40" i="11"/>
  <c r="AM40" i="11"/>
  <c r="AN40" i="11"/>
  <c r="AO40" i="11"/>
  <c r="AP40" i="11"/>
  <c r="AQ40" i="11"/>
  <c r="AR40" i="11"/>
  <c r="AS40" i="11"/>
  <c r="AH41" i="11"/>
  <c r="AI41" i="11"/>
  <c r="AJ41" i="11"/>
  <c r="AK41" i="11"/>
  <c r="AL41" i="11"/>
  <c r="AM41" i="11"/>
  <c r="AN41" i="11"/>
  <c r="AO41" i="11"/>
  <c r="AP41" i="11"/>
  <c r="AQ41" i="11"/>
  <c r="AR41" i="11"/>
  <c r="AS41" i="11"/>
  <c r="AH42" i="11"/>
  <c r="AI42" i="11"/>
  <c r="AJ42" i="11"/>
  <c r="AK42" i="11"/>
  <c r="AL42" i="11"/>
  <c r="AM42" i="11"/>
  <c r="AN42" i="11"/>
  <c r="AO42" i="11"/>
  <c r="AP42" i="11"/>
  <c r="AQ42" i="11"/>
  <c r="AR42" i="11"/>
  <c r="AS42" i="11"/>
  <c r="AH43" i="11"/>
  <c r="AI43" i="11"/>
  <c r="AJ43" i="11"/>
  <c r="AK43" i="11"/>
  <c r="AL43" i="11"/>
  <c r="AM43" i="11"/>
  <c r="AN43" i="11"/>
  <c r="AO43" i="11"/>
  <c r="AP43" i="11"/>
  <c r="AQ43" i="11"/>
  <c r="AR43" i="11"/>
  <c r="AS43" i="11"/>
  <c r="AH44" i="11"/>
  <c r="AI44" i="11"/>
  <c r="AJ44" i="11"/>
  <c r="AK44" i="11"/>
  <c r="AL44" i="11"/>
  <c r="AM44" i="11"/>
  <c r="AN44" i="11"/>
  <c r="AO44" i="11"/>
  <c r="AP44" i="11"/>
  <c r="AQ44" i="11"/>
  <c r="AR44" i="11"/>
  <c r="AS44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H46" i="11"/>
  <c r="AI46" i="11"/>
  <c r="AJ46" i="11"/>
  <c r="AK46" i="11"/>
  <c r="AL46" i="11"/>
  <c r="AM46" i="11"/>
  <c r="AN46" i="11"/>
  <c r="AO46" i="11"/>
  <c r="AP46" i="11"/>
  <c r="AQ46" i="11"/>
  <c r="AR46" i="11"/>
  <c r="AS46" i="11"/>
  <c r="AH47" i="11"/>
  <c r="AI47" i="11"/>
  <c r="AJ47" i="11"/>
  <c r="AK47" i="11"/>
  <c r="AL47" i="11"/>
  <c r="AM47" i="11"/>
  <c r="AN47" i="11"/>
  <c r="AO47" i="11"/>
  <c r="AP47" i="11"/>
  <c r="AQ47" i="11"/>
  <c r="AR47" i="11"/>
  <c r="AS47" i="11"/>
  <c r="AH48" i="11"/>
  <c r="AI48" i="11"/>
  <c r="AJ48" i="11"/>
  <c r="AK48" i="11"/>
  <c r="AL48" i="11"/>
  <c r="AM48" i="11"/>
  <c r="AN48" i="11"/>
  <c r="AO48" i="11"/>
  <c r="AP48" i="11"/>
  <c r="AQ48" i="11"/>
  <c r="AR48" i="11"/>
  <c r="AS48" i="11"/>
  <c r="AI49" i="11"/>
  <c r="AJ49" i="11"/>
  <c r="AK49" i="11"/>
  <c r="AL49" i="11"/>
  <c r="AM49" i="11"/>
  <c r="AN49" i="11"/>
  <c r="AO49" i="11"/>
  <c r="AP49" i="11"/>
  <c r="AQ49" i="11"/>
  <c r="AR49" i="11"/>
  <c r="AS49" i="11"/>
  <c r="AH50" i="11"/>
  <c r="AI50" i="11"/>
  <c r="AJ50" i="11"/>
  <c r="AK50" i="11"/>
  <c r="AL50" i="11"/>
  <c r="AM50" i="11"/>
  <c r="AN50" i="11"/>
  <c r="AO50" i="11"/>
  <c r="AP50" i="11"/>
  <c r="AQ50" i="11"/>
  <c r="AR50" i="11"/>
  <c r="AS50" i="11"/>
  <c r="AJ39" i="11"/>
  <c r="AK39" i="11"/>
  <c r="AL39" i="11"/>
  <c r="AM39" i="11"/>
  <c r="AN39" i="11"/>
  <c r="AO39" i="11"/>
  <c r="AP39" i="11"/>
  <c r="AQ39" i="11"/>
  <c r="AR39" i="11"/>
  <c r="AS39" i="11"/>
  <c r="K71" i="10" a="1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C11" i="11"/>
  <c r="K72" i="13" a="1"/>
  <c r="W70" i="13"/>
  <c r="I64" i="13"/>
  <c r="E50" i="9"/>
  <c r="F50" i="9"/>
  <c r="H50" i="9"/>
  <c r="I50" i="9"/>
  <c r="J50" i="9"/>
  <c r="K50" i="9"/>
  <c r="L50" i="9"/>
  <c r="M50" i="9"/>
  <c r="G10" i="9"/>
  <c r="D10" i="9"/>
  <c r="G9" i="9"/>
  <c r="E9" i="9"/>
  <c r="D9" i="9"/>
  <c r="C9" i="9"/>
  <c r="H37" i="3"/>
  <c r="Y39" i="11"/>
  <c r="Y40" i="11"/>
  <c r="Y41" i="11"/>
  <c r="Y42" i="11"/>
  <c r="Y43" i="11"/>
  <c r="Y44" i="11"/>
  <c r="Y45" i="11"/>
  <c r="Y46" i="11"/>
  <c r="Y47" i="11"/>
  <c r="Y48" i="11"/>
  <c r="Y49" i="11"/>
  <c r="Y50" i="11"/>
  <c r="AC39" i="11"/>
  <c r="AD39" i="11"/>
  <c r="AC40" i="11"/>
  <c r="AD40" i="11"/>
  <c r="AC41" i="11"/>
  <c r="AD41" i="11"/>
  <c r="AC42" i="11"/>
  <c r="AD42" i="11"/>
  <c r="AC43" i="11"/>
  <c r="AD43" i="11"/>
  <c r="AC44" i="11"/>
  <c r="AD44" i="11"/>
  <c r="AC45" i="11"/>
  <c r="AD45" i="11"/>
  <c r="AC46" i="11"/>
  <c r="AD46" i="11"/>
  <c r="AC47" i="11"/>
  <c r="AD47" i="11"/>
  <c r="AC48" i="11"/>
  <c r="AD48" i="11"/>
  <c r="AC49" i="11"/>
  <c r="AD49" i="11"/>
  <c r="AC50" i="11"/>
  <c r="AD50" i="11"/>
  <c r="Z40" i="11"/>
  <c r="Z41" i="11"/>
  <c r="Z42" i="11"/>
  <c r="Z43" i="11"/>
  <c r="Z44" i="11"/>
  <c r="Z45" i="11"/>
  <c r="Z46" i="11"/>
  <c r="Z47" i="11"/>
  <c r="Z48" i="11"/>
  <c r="Z49" i="11"/>
  <c r="Z50" i="11"/>
  <c r="Z39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K51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K39" i="11"/>
  <c r="K72" i="11" a="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K69" i="10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X24" i="11"/>
  <c r="Y24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X12" i="11"/>
  <c r="Y12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X13" i="11"/>
  <c r="Y13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X14" i="11"/>
  <c r="Y14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X15" i="11"/>
  <c r="Y15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X16" i="11"/>
  <c r="Y16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X17" i="11"/>
  <c r="Y17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X18" i="11"/>
  <c r="Y18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X19" i="11"/>
  <c r="Y19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X20" i="11"/>
  <c r="Y20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X21" i="11"/>
  <c r="Y21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X22" i="11"/>
  <c r="Y22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X11" i="11"/>
  <c r="Y11" i="11"/>
  <c r="C12" i="11"/>
  <c r="D12" i="11"/>
  <c r="E12" i="11"/>
  <c r="F12" i="11"/>
  <c r="G12" i="11"/>
  <c r="H12" i="11"/>
  <c r="I12" i="11"/>
  <c r="C13" i="11"/>
  <c r="D13" i="11"/>
  <c r="E13" i="11"/>
  <c r="F13" i="11"/>
  <c r="G13" i="11"/>
  <c r="H13" i="11"/>
  <c r="I13" i="11"/>
  <c r="C14" i="11"/>
  <c r="D14" i="11"/>
  <c r="E14" i="11"/>
  <c r="F14" i="11"/>
  <c r="G14" i="11"/>
  <c r="H14" i="11"/>
  <c r="I14" i="11"/>
  <c r="C15" i="11"/>
  <c r="D15" i="11"/>
  <c r="E15" i="11"/>
  <c r="F15" i="11"/>
  <c r="G15" i="11"/>
  <c r="H15" i="11"/>
  <c r="I15" i="11"/>
  <c r="C16" i="11"/>
  <c r="D16" i="11"/>
  <c r="E16" i="11"/>
  <c r="F16" i="11"/>
  <c r="G16" i="11"/>
  <c r="H16" i="11"/>
  <c r="I16" i="11"/>
  <c r="C17" i="11"/>
  <c r="D17" i="11"/>
  <c r="E17" i="11"/>
  <c r="F17" i="11"/>
  <c r="G17" i="11"/>
  <c r="H17" i="11"/>
  <c r="I17" i="11"/>
  <c r="C18" i="11"/>
  <c r="E18" i="11"/>
  <c r="F18" i="11"/>
  <c r="G18" i="11"/>
  <c r="H18" i="11"/>
  <c r="I18" i="11"/>
  <c r="C19" i="11"/>
  <c r="D19" i="11"/>
  <c r="E19" i="11"/>
  <c r="F19" i="11"/>
  <c r="G19" i="11"/>
  <c r="H19" i="11"/>
  <c r="I19" i="11"/>
  <c r="C20" i="11"/>
  <c r="D20" i="11"/>
  <c r="E20" i="11"/>
  <c r="F20" i="11"/>
  <c r="G20" i="11"/>
  <c r="H20" i="11"/>
  <c r="I20" i="11"/>
  <c r="C21" i="11"/>
  <c r="D21" i="11"/>
  <c r="E21" i="11"/>
  <c r="F21" i="11"/>
  <c r="G21" i="11"/>
  <c r="H21" i="11"/>
  <c r="I21" i="11"/>
  <c r="C22" i="11"/>
  <c r="D22" i="11"/>
  <c r="E22" i="11"/>
  <c r="F22" i="11"/>
  <c r="G22" i="11"/>
  <c r="H22" i="11"/>
  <c r="I22" i="11"/>
  <c r="D11" i="11"/>
  <c r="I11" i="11"/>
  <c r="J11" i="11"/>
  <c r="W70" i="11"/>
  <c r="I64" i="11"/>
  <c r="AD51" i="11"/>
  <c r="AC51" i="11"/>
  <c r="Z51" i="11"/>
  <c r="Y51" i="11"/>
  <c r="W70" i="10"/>
  <c r="W68" i="10"/>
  <c r="W67" i="10"/>
  <c r="W66" i="10"/>
  <c r="W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I64" i="10"/>
  <c r="W63" i="10"/>
  <c r="W62" i="10"/>
  <c r="W61" i="10"/>
  <c r="W60" i="10"/>
  <c r="W59" i="10"/>
  <c r="W58" i="10"/>
  <c r="W57" i="10"/>
  <c r="W56" i="10"/>
  <c r="W55" i="10"/>
  <c r="AD51" i="10"/>
  <c r="AC51" i="10"/>
  <c r="AA51" i="10"/>
  <c r="Z51" i="10"/>
  <c r="Y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AE50" i="10"/>
  <c r="W50" i="10"/>
  <c r="AE49" i="10"/>
  <c r="W49" i="10"/>
  <c r="AE48" i="10"/>
  <c r="W48" i="10"/>
  <c r="AE47" i="10"/>
  <c r="W47" i="10"/>
  <c r="AE46" i="10"/>
  <c r="W46" i="10"/>
  <c r="AE45" i="10"/>
  <c r="W45" i="10"/>
  <c r="AE44" i="10"/>
  <c r="W44" i="10"/>
  <c r="AE43" i="10"/>
  <c r="W43" i="10"/>
  <c r="AE42" i="10"/>
  <c r="W42" i="10"/>
  <c r="AE41" i="10"/>
  <c r="W41" i="10"/>
  <c r="AE40" i="10"/>
  <c r="W40" i="10"/>
  <c r="AE39" i="10"/>
  <c r="W39" i="10"/>
  <c r="Y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H24" i="10"/>
  <c r="G24" i="10"/>
  <c r="F24" i="10"/>
  <c r="E24" i="10"/>
  <c r="D24" i="10"/>
  <c r="C24" i="10"/>
  <c r="W22" i="10"/>
  <c r="J22" i="10"/>
  <c r="I22" i="10"/>
  <c r="W21" i="10"/>
  <c r="J21" i="10"/>
  <c r="I21" i="10"/>
  <c r="W20" i="10"/>
  <c r="J20" i="10"/>
  <c r="I20" i="10"/>
  <c r="W19" i="10"/>
  <c r="J19" i="10"/>
  <c r="I19" i="10"/>
  <c r="W18" i="10"/>
  <c r="J18" i="10"/>
  <c r="I18" i="10"/>
  <c r="W17" i="10"/>
  <c r="J17" i="10"/>
  <c r="I17" i="10"/>
  <c r="W16" i="10"/>
  <c r="J16" i="10"/>
  <c r="I16" i="10"/>
  <c r="W15" i="10"/>
  <c r="J15" i="10"/>
  <c r="I15" i="10"/>
  <c r="W14" i="10"/>
  <c r="J14" i="10"/>
  <c r="I14" i="10"/>
  <c r="B14" i="10"/>
  <c r="W13" i="10"/>
  <c r="J13" i="10"/>
  <c r="I13" i="10"/>
  <c r="B13" i="10"/>
  <c r="W12" i="10"/>
  <c r="J12" i="10"/>
  <c r="I12" i="10"/>
  <c r="W11" i="10"/>
  <c r="J11" i="10"/>
  <c r="I11" i="10"/>
  <c r="D132" i="9"/>
  <c r="D131" i="9"/>
  <c r="D130" i="9"/>
  <c r="D129" i="9"/>
  <c r="D128" i="9"/>
  <c r="D127" i="9"/>
  <c r="D126" i="9"/>
  <c r="D133" i="9" s="1"/>
  <c r="E28" i="9"/>
  <c r="D28" i="9"/>
  <c r="E60" i="9"/>
  <c r="H60" i="9"/>
  <c r="J60" i="9"/>
  <c r="K60" i="9"/>
  <c r="L60" i="9"/>
  <c r="M60" i="9"/>
  <c r="E61" i="9"/>
  <c r="H61" i="9"/>
  <c r="J61" i="9"/>
  <c r="K61" i="9"/>
  <c r="L61" i="9"/>
  <c r="M61" i="9"/>
  <c r="F25" i="9"/>
  <c r="G25" i="9"/>
  <c r="I25" i="9"/>
  <c r="F26" i="9"/>
  <c r="G26" i="9"/>
  <c r="I26" i="9"/>
  <c r="F27" i="9"/>
  <c r="G27" i="9"/>
  <c r="I27" i="9"/>
  <c r="D25" i="9"/>
  <c r="D26" i="9"/>
  <c r="D27" i="9"/>
  <c r="C26" i="9"/>
  <c r="C27" i="9"/>
  <c r="C25" i="9"/>
  <c r="O18" i="9"/>
  <c r="O7" i="9"/>
  <c r="M7" i="9"/>
  <c r="L7" i="9"/>
  <c r="L30" i="9"/>
  <c r="L40" i="9"/>
  <c r="L38" i="9"/>
  <c r="M38" i="9"/>
  <c r="M67" i="9"/>
  <c r="L67" i="9"/>
  <c r="D66" i="9"/>
  <c r="E66" i="9"/>
  <c r="F66" i="9"/>
  <c r="G66" i="9"/>
  <c r="H66" i="9"/>
  <c r="I66" i="9"/>
  <c r="J66" i="9"/>
  <c r="L66" i="9"/>
  <c r="M66" i="9"/>
  <c r="F65" i="9"/>
  <c r="H65" i="9"/>
  <c r="J65" i="9"/>
  <c r="L65" i="9"/>
  <c r="M65" i="9"/>
  <c r="D65" i="9"/>
  <c r="E64" i="9"/>
  <c r="F64" i="9"/>
  <c r="H64" i="9"/>
  <c r="J64" i="9"/>
  <c r="K64" i="9"/>
  <c r="L64" i="9"/>
  <c r="M64" i="9"/>
  <c r="F63" i="9"/>
  <c r="H63" i="9"/>
  <c r="I63" i="9"/>
  <c r="J63" i="9"/>
  <c r="K63" i="9"/>
  <c r="L63" i="9"/>
  <c r="M63" i="9"/>
  <c r="D63" i="9"/>
  <c r="D59" i="9"/>
  <c r="G59" i="9"/>
  <c r="I59" i="9"/>
  <c r="J59" i="9"/>
  <c r="K59" i="9"/>
  <c r="L59" i="9"/>
  <c r="M59" i="9"/>
  <c r="H58" i="9"/>
  <c r="J58" i="9"/>
  <c r="L58" i="9"/>
  <c r="M58" i="9"/>
  <c r="D58" i="9"/>
  <c r="M28" i="9"/>
  <c r="L28" i="9"/>
  <c r="F48" i="9"/>
  <c r="H48" i="9"/>
  <c r="J48" i="9"/>
  <c r="F49" i="9"/>
  <c r="H49" i="9"/>
  <c r="J49" i="9"/>
  <c r="L49" i="9"/>
  <c r="M49" i="9"/>
  <c r="D51" i="9"/>
  <c r="E51" i="9"/>
  <c r="G51" i="9"/>
  <c r="H51" i="9"/>
  <c r="J51" i="9"/>
  <c r="L51" i="9"/>
  <c r="M51" i="9"/>
  <c r="D52" i="9"/>
  <c r="H52" i="9"/>
  <c r="J52" i="9"/>
  <c r="L52" i="9"/>
  <c r="M52" i="9"/>
  <c r="G54" i="9"/>
  <c r="D55" i="9"/>
  <c r="E55" i="9"/>
  <c r="F55" i="9"/>
  <c r="G55" i="9"/>
  <c r="H55" i="9"/>
  <c r="I55" i="9"/>
  <c r="J55" i="9"/>
  <c r="K55" i="9"/>
  <c r="L55" i="9"/>
  <c r="M55" i="9"/>
  <c r="D56" i="9"/>
  <c r="E56" i="9"/>
  <c r="F56" i="9"/>
  <c r="G56" i="9"/>
  <c r="H56" i="9"/>
  <c r="I56" i="9"/>
  <c r="J56" i="9"/>
  <c r="K56" i="9"/>
  <c r="L56" i="9"/>
  <c r="M56" i="9"/>
  <c r="D57" i="9"/>
  <c r="E57" i="9"/>
  <c r="F57" i="9"/>
  <c r="G57" i="9"/>
  <c r="H57" i="9"/>
  <c r="I57" i="9"/>
  <c r="J57" i="9"/>
  <c r="K57" i="9"/>
  <c r="L57" i="9"/>
  <c r="M57" i="9"/>
  <c r="E47" i="9"/>
  <c r="G47" i="9"/>
  <c r="I47" i="9"/>
  <c r="K47" i="9"/>
  <c r="L47" i="9"/>
  <c r="M47" i="9"/>
  <c r="D38" i="9"/>
  <c r="F38" i="9"/>
  <c r="H38" i="9"/>
  <c r="J38" i="9"/>
  <c r="K38" i="9"/>
  <c r="I38" i="9"/>
  <c r="G38" i="9"/>
  <c r="E38" i="9"/>
  <c r="J40" i="9"/>
  <c r="H40" i="9"/>
  <c r="F40" i="9"/>
  <c r="D40" i="9"/>
  <c r="J71" i="3"/>
  <c r="K37" i="9"/>
  <c r="I36" i="9"/>
  <c r="K36" i="9"/>
  <c r="G36" i="9"/>
  <c r="E36" i="9"/>
  <c r="E32" i="9"/>
  <c r="I33" i="9"/>
  <c r="G33" i="9"/>
  <c r="G32" i="9"/>
  <c r="D33" i="9"/>
  <c r="H60" i="3"/>
  <c r="E22" i="9"/>
  <c r="J28" i="9"/>
  <c r="K28" i="9"/>
  <c r="K22" i="9"/>
  <c r="I28" i="9"/>
  <c r="I22" i="9"/>
  <c r="H28" i="9"/>
  <c r="H23" i="9"/>
  <c r="F23" i="9"/>
  <c r="H53" i="3"/>
  <c r="G28" i="9"/>
  <c r="F28" i="9"/>
  <c r="G22" i="9"/>
  <c r="F22" i="9"/>
  <c r="J30" i="9"/>
  <c r="H30" i="9"/>
  <c r="F30" i="9"/>
  <c r="D30" i="9"/>
  <c r="G60" i="3"/>
  <c r="I60" i="3"/>
  <c r="L8" i="9"/>
  <c r="M14" i="9"/>
  <c r="L14" i="9"/>
  <c r="L13" i="9"/>
  <c r="N15" i="9"/>
  <c r="N16" i="9"/>
  <c r="N17" i="9"/>
  <c r="J14" i="9"/>
  <c r="K14" i="9"/>
  <c r="J13" i="9"/>
  <c r="K13" i="9"/>
  <c r="J20" i="9"/>
  <c r="K8" i="9"/>
  <c r="K9" i="9"/>
  <c r="K12" i="9"/>
  <c r="I14" i="9"/>
  <c r="H14" i="9"/>
  <c r="I13" i="9"/>
  <c r="H13" i="9"/>
  <c r="C26" i="3"/>
  <c r="C27" i="3"/>
  <c r="I26" i="3"/>
  <c r="D8" i="9"/>
  <c r="E8" i="9"/>
  <c r="H26" i="3"/>
  <c r="F11" i="9"/>
  <c r="F12" i="9"/>
  <c r="G8" i="9"/>
  <c r="J26" i="3"/>
  <c r="I12" i="9"/>
  <c r="G12" i="9"/>
  <c r="D7" i="9"/>
  <c r="M8" i="9"/>
  <c r="F7" i="9"/>
  <c r="I8" i="9"/>
  <c r="F14" i="9"/>
  <c r="E14" i="9"/>
  <c r="H20" i="9"/>
  <c r="D20" i="9"/>
  <c r="B80" i="3"/>
  <c r="U80" i="3"/>
  <c r="B81" i="3"/>
  <c r="U81" i="3"/>
  <c r="B82" i="3"/>
  <c r="U82" i="3"/>
  <c r="B83" i="3"/>
  <c r="U83" i="3"/>
  <c r="B84" i="3"/>
  <c r="U84" i="3"/>
  <c r="B85" i="3"/>
  <c r="U85" i="3"/>
  <c r="B86" i="3"/>
  <c r="U86" i="3"/>
  <c r="B87" i="3"/>
  <c r="U87" i="3"/>
  <c r="B88" i="3"/>
  <c r="U88" i="3"/>
  <c r="B89" i="3"/>
  <c r="U89" i="3"/>
  <c r="B90" i="3"/>
  <c r="U90" i="3"/>
  <c r="B91" i="3"/>
  <c r="U91" i="3"/>
  <c r="B92" i="3"/>
  <c r="U92" i="3"/>
  <c r="B93" i="3"/>
  <c r="U93" i="3"/>
  <c r="B94" i="3"/>
  <c r="U94" i="3"/>
  <c r="B95" i="3"/>
  <c r="U95" i="3"/>
  <c r="B96" i="3"/>
  <c r="U96" i="3"/>
  <c r="B97" i="3"/>
  <c r="U97" i="3"/>
  <c r="B98" i="3"/>
  <c r="U98" i="3"/>
  <c r="B99" i="3"/>
  <c r="U99" i="3"/>
  <c r="B100" i="3"/>
  <c r="U100" i="3"/>
  <c r="B101" i="3"/>
  <c r="U101" i="3"/>
  <c r="B102" i="3"/>
  <c r="U102" i="3"/>
  <c r="B103" i="3"/>
  <c r="U103" i="3"/>
  <c r="B104" i="3"/>
  <c r="U104" i="3"/>
  <c r="B105" i="3"/>
  <c r="B108" i="3"/>
  <c r="U108" i="3"/>
  <c r="B109" i="3"/>
  <c r="U109" i="3"/>
  <c r="B110" i="3"/>
  <c r="U110" i="3"/>
  <c r="B111" i="3"/>
  <c r="U111" i="3"/>
  <c r="B112" i="3"/>
  <c r="U112" i="3"/>
  <c r="B113" i="3"/>
  <c r="U113" i="3"/>
  <c r="B114" i="3"/>
  <c r="U114" i="3"/>
  <c r="B115" i="3"/>
  <c r="U115" i="3"/>
  <c r="B116" i="3"/>
  <c r="U116" i="3"/>
  <c r="B117" i="3"/>
  <c r="U117" i="3"/>
  <c r="B118" i="3"/>
  <c r="U118" i="3"/>
  <c r="B119" i="3"/>
  <c r="U119" i="3"/>
  <c r="B120" i="3"/>
  <c r="U120" i="3"/>
  <c r="B121" i="3"/>
  <c r="U121" i="3"/>
  <c r="B122" i="3"/>
  <c r="U122" i="3"/>
  <c r="B123" i="3"/>
  <c r="U123" i="3"/>
  <c r="B124" i="3"/>
  <c r="U124" i="3"/>
  <c r="B125" i="3"/>
  <c r="U125" i="3"/>
  <c r="B126" i="3"/>
  <c r="U126" i="3"/>
  <c r="B127" i="3"/>
  <c r="U127" i="3"/>
  <c r="B128" i="3"/>
  <c r="U128" i="3"/>
  <c r="B129" i="3"/>
  <c r="U129" i="3"/>
  <c r="B130" i="3"/>
  <c r="U130" i="3"/>
  <c r="B131" i="3"/>
  <c r="U131" i="3"/>
  <c r="B132" i="3"/>
  <c r="U132" i="3"/>
  <c r="B133" i="3"/>
  <c r="D133" i="3"/>
  <c r="E133" i="3"/>
  <c r="F133" i="3"/>
  <c r="H133" i="3"/>
  <c r="I133" i="3"/>
  <c r="J133" i="3"/>
  <c r="U133" i="3"/>
  <c r="B136" i="3"/>
  <c r="U136" i="3"/>
  <c r="B137" i="3"/>
  <c r="U137" i="3"/>
  <c r="B138" i="3"/>
  <c r="U138" i="3"/>
  <c r="B139" i="3"/>
  <c r="U139" i="3"/>
  <c r="B140" i="3"/>
  <c r="U140" i="3"/>
  <c r="B141" i="3"/>
  <c r="U141" i="3"/>
  <c r="B142" i="3"/>
  <c r="U142" i="3"/>
  <c r="B143" i="3"/>
  <c r="U143" i="3"/>
  <c r="B144" i="3"/>
  <c r="U144" i="3"/>
  <c r="B145" i="3"/>
  <c r="U145" i="3"/>
  <c r="B146" i="3"/>
  <c r="U146" i="3"/>
  <c r="B147" i="3"/>
  <c r="U147" i="3"/>
  <c r="B148" i="3"/>
  <c r="U148" i="3"/>
  <c r="B149" i="3"/>
  <c r="U149" i="3"/>
  <c r="B150" i="3"/>
  <c r="U150" i="3"/>
  <c r="B151" i="3"/>
  <c r="U151" i="3"/>
  <c r="B152" i="3"/>
  <c r="U152" i="3"/>
  <c r="B153" i="3"/>
  <c r="U153" i="3"/>
  <c r="B154" i="3"/>
  <c r="U154" i="3"/>
  <c r="B155" i="3"/>
  <c r="U155" i="3"/>
  <c r="B156" i="3"/>
  <c r="U156" i="3"/>
  <c r="B157" i="3"/>
  <c r="U157" i="3"/>
  <c r="B158" i="3"/>
  <c r="U158" i="3"/>
  <c r="B159" i="3"/>
  <c r="U159" i="3"/>
  <c r="B160" i="3"/>
  <c r="U160" i="3"/>
  <c r="B161" i="3"/>
  <c r="D161" i="3"/>
  <c r="E161" i="3"/>
  <c r="F161" i="3"/>
  <c r="H161" i="3"/>
  <c r="I161" i="3"/>
  <c r="J161" i="3"/>
  <c r="D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C14" i="14" l="1"/>
  <c r="C14" i="17"/>
  <c r="AE42" i="11"/>
  <c r="AK42" i="10"/>
  <c r="E13" i="12"/>
  <c r="F160" i="9"/>
  <c r="E59" i="9"/>
  <c r="E92" i="9" s="1"/>
  <c r="D19" i="12" s="1"/>
  <c r="N180" i="9"/>
  <c r="D141" i="9"/>
  <c r="D152" i="9" s="1"/>
  <c r="K143" i="9"/>
  <c r="I141" i="9"/>
  <c r="L141" i="9"/>
  <c r="M141" i="9"/>
  <c r="J141" i="9"/>
  <c r="E141" i="9"/>
  <c r="N177" i="9"/>
  <c r="H141" i="9"/>
  <c r="G141" i="9"/>
  <c r="K141" i="9"/>
  <c r="E174" i="9"/>
  <c r="F174" i="9"/>
  <c r="G174" i="9"/>
  <c r="D174" i="9"/>
  <c r="D140" i="9"/>
  <c r="E140" i="9"/>
  <c r="E175" i="9" s="1"/>
  <c r="D144" i="9"/>
  <c r="D179" i="9" s="1"/>
  <c r="D197" i="9" s="1"/>
  <c r="J54" i="9"/>
  <c r="K54" i="9"/>
  <c r="K149" i="9" s="1"/>
  <c r="K117" i="9"/>
  <c r="J117" i="9"/>
  <c r="L133" i="9"/>
  <c r="J133" i="9"/>
  <c r="H133" i="9"/>
  <c r="F133" i="9"/>
  <c r="I144" i="9"/>
  <c r="N132" i="9"/>
  <c r="N128" i="9"/>
  <c r="N126" i="9"/>
  <c r="N125" i="9"/>
  <c r="F175" i="9"/>
  <c r="I143" i="9"/>
  <c r="H82" i="9"/>
  <c r="G9" i="12" s="1"/>
  <c r="L85" i="9"/>
  <c r="K12" i="12" s="1"/>
  <c r="H85" i="9"/>
  <c r="G12" i="12" s="1"/>
  <c r="H139" i="9"/>
  <c r="I139" i="9"/>
  <c r="I174" i="9" s="1"/>
  <c r="J139" i="9"/>
  <c r="K139" i="9"/>
  <c r="K174" i="9" s="1"/>
  <c r="L139" i="9"/>
  <c r="M139" i="9"/>
  <c r="M174" i="9" s="1"/>
  <c r="G140" i="9"/>
  <c r="H140" i="9"/>
  <c r="H175" i="9" s="1"/>
  <c r="J140" i="9"/>
  <c r="J175" i="9" s="1"/>
  <c r="L140" i="9"/>
  <c r="L175" i="9" s="1"/>
  <c r="H81" i="9"/>
  <c r="G8" i="12" s="1"/>
  <c r="M82" i="9"/>
  <c r="L9" i="12" s="1"/>
  <c r="J85" i="9"/>
  <c r="I12" i="12" s="1"/>
  <c r="N130" i="9"/>
  <c r="I140" i="9"/>
  <c r="I175" i="9" s="1"/>
  <c r="D143" i="9"/>
  <c r="J82" i="9"/>
  <c r="I9" i="12" s="1"/>
  <c r="K140" i="9"/>
  <c r="K175" i="9" s="1"/>
  <c r="F81" i="9"/>
  <c r="E8" i="12" s="1"/>
  <c r="D85" i="9"/>
  <c r="C12" i="12" s="1"/>
  <c r="N131" i="9"/>
  <c r="N129" i="9"/>
  <c r="N127" i="9"/>
  <c r="M140" i="9"/>
  <c r="M175" i="9" s="1"/>
  <c r="L143" i="9"/>
  <c r="F82" i="9"/>
  <c r="E9" i="12" s="1"/>
  <c r="M85" i="9"/>
  <c r="L12" i="12" s="1"/>
  <c r="J81" i="9"/>
  <c r="I8" i="12" s="1"/>
  <c r="G87" i="9"/>
  <c r="L82" i="9"/>
  <c r="K9" i="12" s="1"/>
  <c r="J84" i="9"/>
  <c r="I11" i="12" s="1"/>
  <c r="D84" i="9"/>
  <c r="C11" i="12" s="1"/>
  <c r="G84" i="9"/>
  <c r="F11" i="12" s="1"/>
  <c r="M84" i="9"/>
  <c r="L11" i="12" s="1"/>
  <c r="L84" i="9"/>
  <c r="K11" i="12" s="1"/>
  <c r="E84" i="9"/>
  <c r="D11" i="12" s="1"/>
  <c r="H84" i="9"/>
  <c r="G11" i="12" s="1"/>
  <c r="I80" i="9"/>
  <c r="H7" i="12" s="1"/>
  <c r="M80" i="9"/>
  <c r="L7" i="12" s="1"/>
  <c r="G80" i="9"/>
  <c r="F7" i="12" s="1"/>
  <c r="E80" i="9"/>
  <c r="D7" i="12" s="1"/>
  <c r="L80" i="9"/>
  <c r="K7" i="12" s="1"/>
  <c r="K80" i="9"/>
  <c r="J7" i="12" s="1"/>
  <c r="I83" i="9"/>
  <c r="H10" i="12" s="1"/>
  <c r="F83" i="9"/>
  <c r="E10" i="12" s="1"/>
  <c r="E83" i="9"/>
  <c r="D10" i="12" s="1"/>
  <c r="L83" i="9"/>
  <c r="K10" i="12" s="1"/>
  <c r="K83" i="9"/>
  <c r="J10" i="12" s="1"/>
  <c r="N13" i="9"/>
  <c r="H83" i="9"/>
  <c r="G10" i="12" s="1"/>
  <c r="M83" i="9"/>
  <c r="L10" i="12" s="1"/>
  <c r="J83" i="9"/>
  <c r="I10" i="12" s="1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X70" i="18"/>
  <c r="BU39" i="18" a="1"/>
  <c r="X34" i="17"/>
  <c r="AJ34" i="17" s="1"/>
  <c r="AD30" i="17"/>
  <c r="S20" i="17"/>
  <c r="AE33" i="17"/>
  <c r="X33" i="17"/>
  <c r="AJ33" i="17" s="1"/>
  <c r="R28" i="17"/>
  <c r="AD27" i="17"/>
  <c r="X27" i="17"/>
  <c r="AD10" i="17"/>
  <c r="S37" i="17"/>
  <c r="AE37" i="17" s="1"/>
  <c r="X36" i="17"/>
  <c r="AJ36" i="17" s="1"/>
  <c r="AE31" i="17"/>
  <c r="AJ17" i="17"/>
  <c r="X10" i="17"/>
  <c r="AH39" i="17"/>
  <c r="S38" i="17"/>
  <c r="AE38" i="17" s="1"/>
  <c r="AD37" i="17"/>
  <c r="AI20" i="17"/>
  <c r="AE18" i="17"/>
  <c r="R39" i="17"/>
  <c r="AD39" i="17" s="1"/>
  <c r="AD35" i="17"/>
  <c r="R20" i="17"/>
  <c r="AJ13" i="17"/>
  <c r="AD38" i="17"/>
  <c r="X37" i="17"/>
  <c r="AJ37" i="17" s="1"/>
  <c r="X35" i="17"/>
  <c r="AJ35" i="17" s="1"/>
  <c r="AH20" i="17"/>
  <c r="AE19" i="17"/>
  <c r="AI39" i="17"/>
  <c r="AD36" i="17"/>
  <c r="AD34" i="17"/>
  <c r="X32" i="17"/>
  <c r="AJ32" i="17" s="1"/>
  <c r="AE29" i="17"/>
  <c r="AE35" i="17"/>
  <c r="X31" i="17"/>
  <c r="AJ31" i="17" s="1"/>
  <c r="R29" i="17"/>
  <c r="AE28" i="17"/>
  <c r="AJ16" i="17"/>
  <c r="AJ11" i="17"/>
  <c r="AE32" i="17"/>
  <c r="AD31" i="17"/>
  <c r="X30" i="17"/>
  <c r="AJ30" i="17" s="1"/>
  <c r="AE27" i="17"/>
  <c r="AJ15" i="17"/>
  <c r="AD9" i="17"/>
  <c r="X9" i="17"/>
  <c r="AE36" i="17"/>
  <c r="AD33" i="17"/>
  <c r="AE30" i="17"/>
  <c r="X18" i="17"/>
  <c r="AJ14" i="17"/>
  <c r="AJ8" i="17"/>
  <c r="AE34" i="17"/>
  <c r="AD32" i="17"/>
  <c r="AF20" i="17"/>
  <c r="X19" i="17"/>
  <c r="AJ12" i="17"/>
  <c r="F4" i="16"/>
  <c r="H4" i="16" s="1"/>
  <c r="X9" i="14"/>
  <c r="AE32" i="14"/>
  <c r="AD35" i="14"/>
  <c r="AJ8" i="14"/>
  <c r="AJ16" i="14"/>
  <c r="AJ13" i="14"/>
  <c r="AE34" i="14"/>
  <c r="AD30" i="14"/>
  <c r="AD27" i="14"/>
  <c r="AF20" i="14"/>
  <c r="AE35" i="14"/>
  <c r="AI39" i="14"/>
  <c r="AD36" i="14"/>
  <c r="AE33" i="14"/>
  <c r="AD31" i="14"/>
  <c r="AJ11" i="14"/>
  <c r="AD34" i="14"/>
  <c r="AD38" i="14"/>
  <c r="AJ9" i="14"/>
  <c r="AJ14" i="14"/>
  <c r="AI20" i="14"/>
  <c r="AE28" i="14"/>
  <c r="AE31" i="14"/>
  <c r="AH39" i="14"/>
  <c r="AD9" i="14"/>
  <c r="AE27" i="14"/>
  <c r="AE36" i="14"/>
  <c r="AD28" i="14"/>
  <c r="AJ12" i="14"/>
  <c r="AJ15" i="14"/>
  <c r="AE29" i="14"/>
  <c r="AE30" i="14"/>
  <c r="AD33" i="14"/>
  <c r="AJ17" i="14"/>
  <c r="AD32" i="14"/>
  <c r="AD37" i="14"/>
  <c r="AE38" i="14"/>
  <c r="AJ19" i="14"/>
  <c r="G52" i="9"/>
  <c r="AE37" i="14"/>
  <c r="AJ18" i="14"/>
  <c r="AE20" i="14"/>
  <c r="AD29" i="14"/>
  <c r="AJ10" i="14"/>
  <c r="AD20" i="14"/>
  <c r="L7" i="14"/>
  <c r="L39" i="14" s="1"/>
  <c r="X20" i="14"/>
  <c r="X38" i="14"/>
  <c r="X36" i="14"/>
  <c r="X35" i="14"/>
  <c r="X34" i="14"/>
  <c r="X33" i="14"/>
  <c r="X32" i="14"/>
  <c r="X31" i="14"/>
  <c r="X30" i="14"/>
  <c r="X29" i="14"/>
  <c r="X28" i="14"/>
  <c r="X27" i="14"/>
  <c r="X37" i="14"/>
  <c r="D25" i="15"/>
  <c r="E25" i="15"/>
  <c r="F25" i="15"/>
  <c r="G25" i="15"/>
  <c r="H25" i="15"/>
  <c r="I25" i="15"/>
  <c r="J25" i="15"/>
  <c r="K25" i="15"/>
  <c r="L25" i="15"/>
  <c r="M25" i="15"/>
  <c r="N25" i="15"/>
  <c r="D26" i="15"/>
  <c r="E26" i="15"/>
  <c r="F26" i="15"/>
  <c r="G26" i="15"/>
  <c r="H26" i="15"/>
  <c r="I26" i="15"/>
  <c r="J26" i="15"/>
  <c r="K26" i="15"/>
  <c r="L26" i="15"/>
  <c r="M26" i="15"/>
  <c r="N26" i="15"/>
  <c r="D27" i="15"/>
  <c r="E27" i="15"/>
  <c r="F27" i="15"/>
  <c r="G27" i="15"/>
  <c r="H27" i="15"/>
  <c r="I27" i="15"/>
  <c r="J27" i="15"/>
  <c r="K27" i="15"/>
  <c r="L27" i="15"/>
  <c r="M27" i="15"/>
  <c r="N27" i="15"/>
  <c r="D28" i="15"/>
  <c r="E28" i="15"/>
  <c r="F28" i="15"/>
  <c r="G28" i="15"/>
  <c r="H28" i="15"/>
  <c r="I28" i="15"/>
  <c r="J28" i="15"/>
  <c r="K28" i="15"/>
  <c r="L28" i="15"/>
  <c r="M28" i="15"/>
  <c r="N28" i="15"/>
  <c r="D29" i="15"/>
  <c r="E29" i="15"/>
  <c r="F29" i="15"/>
  <c r="G29" i="15"/>
  <c r="H29" i="15"/>
  <c r="I29" i="15"/>
  <c r="J29" i="15"/>
  <c r="K29" i="15"/>
  <c r="L29" i="15"/>
  <c r="M29" i="15"/>
  <c r="N29" i="15"/>
  <c r="D30" i="15"/>
  <c r="E30" i="15"/>
  <c r="F30" i="15"/>
  <c r="G30" i="15"/>
  <c r="H30" i="15"/>
  <c r="I30" i="15"/>
  <c r="J30" i="15"/>
  <c r="K30" i="15"/>
  <c r="L30" i="15"/>
  <c r="M30" i="15"/>
  <c r="N30" i="15"/>
  <c r="D31" i="15"/>
  <c r="E31" i="15"/>
  <c r="F31" i="15"/>
  <c r="G31" i="15"/>
  <c r="H31" i="15"/>
  <c r="I31" i="15"/>
  <c r="J31" i="15"/>
  <c r="K31" i="15"/>
  <c r="L31" i="15"/>
  <c r="M31" i="15"/>
  <c r="N31" i="15"/>
  <c r="D32" i="15"/>
  <c r="E32" i="15"/>
  <c r="F32" i="15"/>
  <c r="G32" i="15"/>
  <c r="H32" i="15"/>
  <c r="I32" i="15"/>
  <c r="J32" i="15"/>
  <c r="K32" i="15"/>
  <c r="L32" i="15"/>
  <c r="M32" i="15"/>
  <c r="N32" i="15"/>
  <c r="D33" i="15"/>
  <c r="E33" i="15"/>
  <c r="F33" i="15"/>
  <c r="G33" i="15"/>
  <c r="H33" i="15"/>
  <c r="I33" i="15"/>
  <c r="J33" i="15"/>
  <c r="K33" i="15"/>
  <c r="L33" i="15"/>
  <c r="M33" i="15"/>
  <c r="N33" i="15"/>
  <c r="D34" i="15"/>
  <c r="E34" i="15"/>
  <c r="F34" i="15"/>
  <c r="G34" i="15"/>
  <c r="H34" i="15"/>
  <c r="I34" i="15"/>
  <c r="J34" i="15"/>
  <c r="K34" i="15"/>
  <c r="L34" i="15"/>
  <c r="M34" i="15"/>
  <c r="N34" i="15"/>
  <c r="D35" i="15"/>
  <c r="E35" i="15"/>
  <c r="F35" i="15"/>
  <c r="G35" i="15"/>
  <c r="H35" i="15"/>
  <c r="I35" i="15"/>
  <c r="J35" i="15"/>
  <c r="K35" i="15"/>
  <c r="L35" i="15"/>
  <c r="M35" i="15"/>
  <c r="N35" i="15"/>
  <c r="D36" i="15"/>
  <c r="E36" i="15"/>
  <c r="F36" i="15"/>
  <c r="G36" i="15"/>
  <c r="H36" i="15"/>
  <c r="I36" i="15"/>
  <c r="J36" i="15"/>
  <c r="K36" i="15"/>
  <c r="L36" i="15"/>
  <c r="M36" i="15"/>
  <c r="N36" i="15"/>
  <c r="C26" i="15"/>
  <c r="C27" i="15"/>
  <c r="C28" i="15"/>
  <c r="C29" i="15"/>
  <c r="C30" i="15"/>
  <c r="C31" i="15"/>
  <c r="C32" i="15"/>
  <c r="C33" i="15"/>
  <c r="C34" i="15"/>
  <c r="C35" i="15"/>
  <c r="C36" i="15"/>
  <c r="C25" i="15"/>
  <c r="F23" i="14"/>
  <c r="R39" i="14"/>
  <c r="AD39" i="14" s="1"/>
  <c r="AA39" i="11"/>
  <c r="AA51" i="11" s="1"/>
  <c r="AA40" i="11"/>
  <c r="AA41" i="11"/>
  <c r="AA42" i="11"/>
  <c r="AA43" i="11"/>
  <c r="AA44" i="11"/>
  <c r="AA45" i="11"/>
  <c r="AA46" i="11"/>
  <c r="AA47" i="11"/>
  <c r="AA48" i="11"/>
  <c r="AA49" i="11"/>
  <c r="AA50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S39" i="14"/>
  <c r="AE39" i="14" s="1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X70" i="13"/>
  <c r="N40" i="12"/>
  <c r="O40" i="12" s="1"/>
  <c r="I49" i="9"/>
  <c r="I82" i="9" s="1"/>
  <c r="H9" i="12" s="1"/>
  <c r="D89" i="9"/>
  <c r="C16" i="12" s="1"/>
  <c r="E89" i="9"/>
  <c r="D16" i="12" s="1"/>
  <c r="F89" i="9"/>
  <c r="E16" i="12" s="1"/>
  <c r="G89" i="9"/>
  <c r="F16" i="12" s="1"/>
  <c r="H89" i="9"/>
  <c r="G16" i="12" s="1"/>
  <c r="I89" i="9"/>
  <c r="H16" i="12" s="1"/>
  <c r="J89" i="9"/>
  <c r="I16" i="12" s="1"/>
  <c r="K89" i="9"/>
  <c r="J16" i="12" s="1"/>
  <c r="L89" i="9"/>
  <c r="K16" i="12" s="1"/>
  <c r="M89" i="9"/>
  <c r="L16" i="12" s="1"/>
  <c r="D90" i="9"/>
  <c r="C17" i="12" s="1"/>
  <c r="E90" i="9"/>
  <c r="D17" i="12" s="1"/>
  <c r="F90" i="9"/>
  <c r="E17" i="12" s="1"/>
  <c r="G90" i="9"/>
  <c r="F17" i="12" s="1"/>
  <c r="H90" i="9"/>
  <c r="G17" i="12" s="1"/>
  <c r="I90" i="9"/>
  <c r="H17" i="12" s="1"/>
  <c r="J90" i="9"/>
  <c r="I17" i="12" s="1"/>
  <c r="K90" i="9"/>
  <c r="J17" i="12" s="1"/>
  <c r="L90" i="9"/>
  <c r="K17" i="12" s="1"/>
  <c r="M90" i="9"/>
  <c r="L17" i="12" s="1"/>
  <c r="D91" i="9"/>
  <c r="C18" i="12" s="1"/>
  <c r="H91" i="9"/>
  <c r="G18" i="12" s="1"/>
  <c r="J91" i="9"/>
  <c r="I18" i="12" s="1"/>
  <c r="L91" i="9"/>
  <c r="K18" i="12" s="1"/>
  <c r="M91" i="9"/>
  <c r="L18" i="12" s="1"/>
  <c r="D92" i="9"/>
  <c r="C19" i="12" s="1"/>
  <c r="G92" i="9"/>
  <c r="F19" i="12" s="1"/>
  <c r="I92" i="9"/>
  <c r="H19" i="12" s="1"/>
  <c r="J92" i="9"/>
  <c r="I19" i="12" s="1"/>
  <c r="K92" i="9"/>
  <c r="J19" i="12" s="1"/>
  <c r="L92" i="9"/>
  <c r="K19" i="12" s="1"/>
  <c r="M92" i="9"/>
  <c r="L19" i="12" s="1"/>
  <c r="E93" i="9"/>
  <c r="D20" i="12" s="1"/>
  <c r="H93" i="9"/>
  <c r="G20" i="12" s="1"/>
  <c r="J93" i="9"/>
  <c r="I20" i="12" s="1"/>
  <c r="K93" i="9"/>
  <c r="J20" i="12" s="1"/>
  <c r="L93" i="9"/>
  <c r="K20" i="12" s="1"/>
  <c r="M93" i="9"/>
  <c r="L20" i="12" s="1"/>
  <c r="E94" i="9"/>
  <c r="D21" i="12" s="1"/>
  <c r="H94" i="9"/>
  <c r="G21" i="12" s="1"/>
  <c r="J94" i="9"/>
  <c r="I21" i="12" s="1"/>
  <c r="K94" i="9"/>
  <c r="J21" i="12" s="1"/>
  <c r="L94" i="9"/>
  <c r="K21" i="12" s="1"/>
  <c r="M94" i="9"/>
  <c r="L21" i="12" s="1"/>
  <c r="D96" i="9"/>
  <c r="C23" i="12" s="1"/>
  <c r="F96" i="9"/>
  <c r="E23" i="12" s="1"/>
  <c r="H96" i="9"/>
  <c r="G23" i="12" s="1"/>
  <c r="I96" i="9"/>
  <c r="H23" i="12" s="1"/>
  <c r="J96" i="9"/>
  <c r="I23" i="12" s="1"/>
  <c r="K96" i="9"/>
  <c r="J23" i="12" s="1"/>
  <c r="L96" i="9"/>
  <c r="K23" i="12" s="1"/>
  <c r="M96" i="9"/>
  <c r="L23" i="12" s="1"/>
  <c r="E97" i="9"/>
  <c r="D24" i="12" s="1"/>
  <c r="F97" i="9"/>
  <c r="E24" i="12" s="1"/>
  <c r="H97" i="9"/>
  <c r="G24" i="12" s="1"/>
  <c r="J97" i="9"/>
  <c r="I24" i="12" s="1"/>
  <c r="K97" i="9"/>
  <c r="J24" i="12" s="1"/>
  <c r="L97" i="9"/>
  <c r="K24" i="12" s="1"/>
  <c r="M97" i="9"/>
  <c r="L24" i="12" s="1"/>
  <c r="D98" i="9"/>
  <c r="C25" i="12" s="1"/>
  <c r="F98" i="9"/>
  <c r="E25" i="12" s="1"/>
  <c r="H98" i="9"/>
  <c r="G25" i="12" s="1"/>
  <c r="J98" i="9"/>
  <c r="I25" i="12" s="1"/>
  <c r="L98" i="9"/>
  <c r="K25" i="12" s="1"/>
  <c r="M98" i="9"/>
  <c r="L25" i="12" s="1"/>
  <c r="D99" i="9"/>
  <c r="C26" i="12" s="1"/>
  <c r="E99" i="9"/>
  <c r="D26" i="12" s="1"/>
  <c r="F99" i="9"/>
  <c r="E26" i="12" s="1"/>
  <c r="G99" i="9"/>
  <c r="F26" i="12" s="1"/>
  <c r="H99" i="9"/>
  <c r="G26" i="12" s="1"/>
  <c r="I99" i="9"/>
  <c r="H26" i="12" s="1"/>
  <c r="J99" i="9"/>
  <c r="I26" i="12" s="1"/>
  <c r="L99" i="9"/>
  <c r="K26" i="12" s="1"/>
  <c r="M99" i="9"/>
  <c r="L26" i="12" s="1"/>
  <c r="F88" i="9"/>
  <c r="E15" i="12" s="1"/>
  <c r="G88" i="9"/>
  <c r="F15" i="12" s="1"/>
  <c r="H88" i="9"/>
  <c r="G15" i="12" s="1"/>
  <c r="M88" i="9"/>
  <c r="L15" i="12" s="1"/>
  <c r="J88" i="9"/>
  <c r="I15" i="12" s="1"/>
  <c r="K88" i="9"/>
  <c r="J15" i="12" s="1"/>
  <c r="L88" i="9"/>
  <c r="K15" i="12" s="1"/>
  <c r="I88" i="9"/>
  <c r="H15" i="12" s="1"/>
  <c r="D88" i="9"/>
  <c r="C15" i="12" s="1"/>
  <c r="E88" i="9"/>
  <c r="D15" i="12" s="1"/>
  <c r="C49" i="9"/>
  <c r="D50" i="9"/>
  <c r="G50" i="9"/>
  <c r="D49" i="9"/>
  <c r="D82" i="9" s="1"/>
  <c r="C9" i="12" s="1"/>
  <c r="F18" i="9"/>
  <c r="F20" i="9"/>
  <c r="B24" i="11"/>
  <c r="X70" i="11"/>
  <c r="X69" i="11"/>
  <c r="X68" i="11"/>
  <c r="X67" i="11"/>
  <c r="X66" i="11"/>
  <c r="X65" i="11"/>
  <c r="X63" i="11"/>
  <c r="X62" i="11"/>
  <c r="X61" i="11"/>
  <c r="X60" i="11"/>
  <c r="X59" i="11"/>
  <c r="X58" i="11"/>
  <c r="X57" i="11"/>
  <c r="X56" i="11"/>
  <c r="X55" i="11"/>
  <c r="AF51" i="11"/>
  <c r="B18" i="11"/>
  <c r="B46" i="11" s="1"/>
  <c r="B21" i="11"/>
  <c r="B49" i="11" s="1"/>
  <c r="B17" i="11"/>
  <c r="B45" i="11" s="1"/>
  <c r="B16" i="11"/>
  <c r="B44" i="11" s="1"/>
  <c r="B14" i="11"/>
  <c r="B42" i="11" s="1"/>
  <c r="B13" i="11"/>
  <c r="B41" i="11" s="1"/>
  <c r="B22" i="11"/>
  <c r="B50" i="11" s="1"/>
  <c r="B20" i="11"/>
  <c r="B48" i="11" s="1"/>
  <c r="B19" i="11"/>
  <c r="B47" i="11" s="1"/>
  <c r="B12" i="11"/>
  <c r="B40" i="11" s="1"/>
  <c r="B15" i="11"/>
  <c r="B43" i="11" s="1"/>
  <c r="B11" i="11"/>
  <c r="B39" i="11" s="1"/>
  <c r="I54" i="11"/>
  <c r="D60" i="9"/>
  <c r="D61" i="9"/>
  <c r="D62" i="9"/>
  <c r="X70" i="10"/>
  <c r="V69" i="10"/>
  <c r="U69" i="10"/>
  <c r="T69" i="10"/>
  <c r="S69" i="10"/>
  <c r="R69" i="10"/>
  <c r="Q69" i="10"/>
  <c r="P69" i="10"/>
  <c r="O69" i="10"/>
  <c r="N69" i="10"/>
  <c r="M69" i="10"/>
  <c r="L69" i="10"/>
  <c r="W69" i="10"/>
  <c r="X69" i="10" s="1"/>
  <c r="X68" i="10"/>
  <c r="X67" i="10"/>
  <c r="X66" i="10"/>
  <c r="X65" i="10"/>
  <c r="W64" i="10"/>
  <c r="X63" i="10"/>
  <c r="X62" i="10"/>
  <c r="X61" i="10"/>
  <c r="X60" i="10"/>
  <c r="X59" i="10"/>
  <c r="X58" i="10"/>
  <c r="X57" i="10"/>
  <c r="X56" i="10"/>
  <c r="X55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W54" i="10" s="1"/>
  <c r="AE51" i="10"/>
  <c r="W51" i="10"/>
  <c r="AF51" i="10" s="1"/>
  <c r="AF50" i="10"/>
  <c r="CI50" i="11" s="1"/>
  <c r="AF43" i="10"/>
  <c r="CI43" i="11" s="1"/>
  <c r="I24" i="10"/>
  <c r="I54" i="10" s="1"/>
  <c r="B11" i="10"/>
  <c r="AF47" i="10"/>
  <c r="CI47" i="11" s="1"/>
  <c r="B42" i="10"/>
  <c r="B20" i="10"/>
  <c r="B48" i="10" s="1"/>
  <c r="B22" i="10"/>
  <c r="B50" i="10" s="1"/>
  <c r="B19" i="10"/>
  <c r="B47" i="10" s="1"/>
  <c r="AF48" i="10"/>
  <c r="CI48" i="11" s="1"/>
  <c r="AF46" i="10"/>
  <c r="CI46" i="11" s="1"/>
  <c r="AF42" i="10"/>
  <c r="AF44" i="10"/>
  <c r="CI44" i="11" s="1"/>
  <c r="B12" i="10"/>
  <c r="B40" i="10" s="1"/>
  <c r="AF49" i="10"/>
  <c r="CI49" i="11" s="1"/>
  <c r="B41" i="10"/>
  <c r="AF39" i="10"/>
  <c r="J24" i="10"/>
  <c r="B18" i="10"/>
  <c r="B46" i="10" s="1"/>
  <c r="B16" i="10"/>
  <c r="B44" i="10" s="1"/>
  <c r="W24" i="10"/>
  <c r="B21" i="10"/>
  <c r="B49" i="10" s="1"/>
  <c r="AF45" i="10"/>
  <c r="CI45" i="11" s="1"/>
  <c r="AF40" i="10"/>
  <c r="CI40" i="11" s="1"/>
  <c r="B17" i="10"/>
  <c r="B45" i="10" s="1"/>
  <c r="B15" i="10"/>
  <c r="B43" i="10" s="1"/>
  <c r="AF41" i="10"/>
  <c r="CI41" i="11" s="1"/>
  <c r="F60" i="9"/>
  <c r="F93" i="9" s="1"/>
  <c r="E20" i="12" s="1"/>
  <c r="G60" i="9"/>
  <c r="I60" i="9"/>
  <c r="I93" i="9" s="1"/>
  <c r="H20" i="12" s="1"/>
  <c r="F61" i="9"/>
  <c r="F94" i="9" s="1"/>
  <c r="E21" i="12" s="1"/>
  <c r="G61" i="9"/>
  <c r="I61" i="9"/>
  <c r="N38" i="9"/>
  <c r="N7" i="9"/>
  <c r="K66" i="9"/>
  <c r="K99" i="9" s="1"/>
  <c r="J26" i="12" s="1"/>
  <c r="D67" i="9"/>
  <c r="E67" i="9"/>
  <c r="E100" i="9" s="1"/>
  <c r="D27" i="12" s="1"/>
  <c r="F67" i="9"/>
  <c r="G67" i="9"/>
  <c r="H67" i="9"/>
  <c r="I67" i="9"/>
  <c r="I100" i="9" s="1"/>
  <c r="H27" i="12" s="1"/>
  <c r="J67" i="9"/>
  <c r="K67" i="9"/>
  <c r="E65" i="9"/>
  <c r="E98" i="9" s="1"/>
  <c r="D25" i="12" s="1"/>
  <c r="G65" i="9"/>
  <c r="G98" i="9" s="1"/>
  <c r="F25" i="12" s="1"/>
  <c r="I65" i="9"/>
  <c r="I98" i="9" s="1"/>
  <c r="H25" i="12" s="1"/>
  <c r="K65" i="9"/>
  <c r="K98" i="9" s="1"/>
  <c r="J25" i="12" s="1"/>
  <c r="D64" i="9"/>
  <c r="G64" i="9"/>
  <c r="I64" i="9"/>
  <c r="E63" i="9"/>
  <c r="E96" i="9" s="1"/>
  <c r="D23" i="12" s="1"/>
  <c r="F62" i="9"/>
  <c r="I62" i="9"/>
  <c r="J62" i="9"/>
  <c r="K62" i="9"/>
  <c r="L62" i="9"/>
  <c r="M62" i="9"/>
  <c r="H59" i="9"/>
  <c r="H92" i="9" s="1"/>
  <c r="G19" i="12" s="1"/>
  <c r="E58" i="9"/>
  <c r="F58" i="9"/>
  <c r="G58" i="9"/>
  <c r="I58" i="9"/>
  <c r="I91" i="9" s="1"/>
  <c r="H18" i="12" s="1"/>
  <c r="E62" i="9"/>
  <c r="G63" i="9"/>
  <c r="G96" i="9" s="1"/>
  <c r="F23" i="12" s="1"/>
  <c r="F59" i="9"/>
  <c r="F92" i="9" s="1"/>
  <c r="E19" i="12" s="1"/>
  <c r="K58" i="9"/>
  <c r="G62" i="9"/>
  <c r="H62" i="9"/>
  <c r="N37" i="9"/>
  <c r="N36" i="9"/>
  <c r="N33" i="9"/>
  <c r="N32" i="9"/>
  <c r="N30" i="9"/>
  <c r="N28" i="9"/>
  <c r="N24" i="9"/>
  <c r="N23" i="9"/>
  <c r="N22" i="9"/>
  <c r="D48" i="9"/>
  <c r="E48" i="9"/>
  <c r="G48" i="9"/>
  <c r="I48" i="9"/>
  <c r="I81" i="9" s="1"/>
  <c r="H8" i="12" s="1"/>
  <c r="K48" i="9"/>
  <c r="K81" i="9" s="1"/>
  <c r="J8" i="12" s="1"/>
  <c r="L48" i="9"/>
  <c r="M48" i="9"/>
  <c r="E49" i="9"/>
  <c r="G49" i="9"/>
  <c r="K49" i="9"/>
  <c r="F51" i="9"/>
  <c r="F52" i="9"/>
  <c r="F85" i="9" s="1"/>
  <c r="E12" i="12" s="1"/>
  <c r="I52" i="9"/>
  <c r="I85" i="9" s="1"/>
  <c r="H12" i="12" s="1"/>
  <c r="K52" i="9"/>
  <c r="D53" i="9"/>
  <c r="I53" i="9"/>
  <c r="I86" i="9" s="1"/>
  <c r="J53" i="9"/>
  <c r="L53" i="9"/>
  <c r="F54" i="9"/>
  <c r="M54" i="9"/>
  <c r="F47" i="9"/>
  <c r="G53" i="9"/>
  <c r="G86" i="9" s="1"/>
  <c r="D47" i="9"/>
  <c r="E53" i="9"/>
  <c r="L54" i="9"/>
  <c r="H54" i="9"/>
  <c r="H47" i="9"/>
  <c r="H80" i="9" s="1"/>
  <c r="G7" i="12" s="1"/>
  <c r="K53" i="9"/>
  <c r="M53" i="9"/>
  <c r="E54" i="9"/>
  <c r="H53" i="9"/>
  <c r="E52" i="9"/>
  <c r="I54" i="9"/>
  <c r="I7" i="12"/>
  <c r="N57" i="9"/>
  <c r="N55" i="9"/>
  <c r="N56" i="9"/>
  <c r="N40" i="9"/>
  <c r="N8" i="9"/>
  <c r="N14" i="9"/>
  <c r="N9" i="9"/>
  <c r="N12" i="9"/>
  <c r="D18" i="9"/>
  <c r="L18" i="9"/>
  <c r="BK42" i="11" l="1"/>
  <c r="BU39" i="11" s="1" a="1"/>
  <c r="BK42" i="13"/>
  <c r="CI42" i="11"/>
  <c r="CI42" i="18"/>
  <c r="CI42" i="13"/>
  <c r="F161" i="9"/>
  <c r="D175" i="9"/>
  <c r="D147" i="9"/>
  <c r="H174" i="9"/>
  <c r="H147" i="9"/>
  <c r="J174" i="9"/>
  <c r="J147" i="9"/>
  <c r="L174" i="9"/>
  <c r="L147" i="9"/>
  <c r="G175" i="9"/>
  <c r="F147" i="9"/>
  <c r="G165" i="9"/>
  <c r="F14" i="12"/>
  <c r="I160" i="9"/>
  <c r="H13" i="12"/>
  <c r="F13" i="12"/>
  <c r="G160" i="9"/>
  <c r="F46" i="12"/>
  <c r="D156" i="9"/>
  <c r="I161" i="9"/>
  <c r="D70" i="9"/>
  <c r="K87" i="9" s="1"/>
  <c r="L87" i="9"/>
  <c r="I197" i="9"/>
  <c r="D203" i="9"/>
  <c r="D86" i="9"/>
  <c r="L59" i="17"/>
  <c r="K59" i="17"/>
  <c r="J59" i="17"/>
  <c r="G59" i="17"/>
  <c r="F59" i="17"/>
  <c r="E59" i="17"/>
  <c r="K95" i="9"/>
  <c r="J22" i="12" s="1"/>
  <c r="I59" i="17"/>
  <c r="N144" i="9"/>
  <c r="I179" i="9"/>
  <c r="N179" i="9" s="1"/>
  <c r="N175" i="9"/>
  <c r="N174" i="9"/>
  <c r="N141" i="9"/>
  <c r="N140" i="9"/>
  <c r="C59" i="17"/>
  <c r="H56" i="17"/>
  <c r="F56" i="17"/>
  <c r="C56" i="17"/>
  <c r="K54" i="17"/>
  <c r="I54" i="17"/>
  <c r="G54" i="17"/>
  <c r="F54" i="17"/>
  <c r="D54" i="17"/>
  <c r="I46" i="17"/>
  <c r="L40" i="17"/>
  <c r="K40" i="17"/>
  <c r="L46" i="17"/>
  <c r="E46" i="17"/>
  <c r="C42" i="17"/>
  <c r="D40" i="17"/>
  <c r="F50" i="17"/>
  <c r="D44" i="17"/>
  <c r="N143" i="9"/>
  <c r="N139" i="9"/>
  <c r="C46" i="12"/>
  <c r="H45" i="17"/>
  <c r="H46" i="12"/>
  <c r="F45" i="17"/>
  <c r="G46" i="17"/>
  <c r="E39" i="17"/>
  <c r="K82" i="9"/>
  <c r="J9" i="12" s="1"/>
  <c r="G54" i="14"/>
  <c r="I46" i="14"/>
  <c r="D54" i="14"/>
  <c r="C59" i="14"/>
  <c r="F41" i="17"/>
  <c r="C39" i="17"/>
  <c r="F70" i="9"/>
  <c r="D44" i="14"/>
  <c r="C56" i="14"/>
  <c r="I54" i="14"/>
  <c r="F56" i="14"/>
  <c r="I59" i="14"/>
  <c r="D41" i="14"/>
  <c r="D46" i="14"/>
  <c r="G59" i="14"/>
  <c r="J59" i="14"/>
  <c r="F50" i="14"/>
  <c r="F59" i="14"/>
  <c r="F95" i="9"/>
  <c r="E22" i="12" s="1"/>
  <c r="I95" i="9"/>
  <c r="H22" i="12" s="1"/>
  <c r="F40" i="17"/>
  <c r="F42" i="17"/>
  <c r="D40" i="14"/>
  <c r="F40" i="14"/>
  <c r="K40" i="14"/>
  <c r="F41" i="14"/>
  <c r="C42" i="14"/>
  <c r="F42" i="14"/>
  <c r="E46" i="14"/>
  <c r="L46" i="14"/>
  <c r="E59" i="14"/>
  <c r="K59" i="14"/>
  <c r="D42" i="14"/>
  <c r="G46" i="14"/>
  <c r="H56" i="14"/>
  <c r="L59" i="14"/>
  <c r="L40" i="14"/>
  <c r="E39" i="14"/>
  <c r="F54" i="14"/>
  <c r="K54" i="14"/>
  <c r="C39" i="14"/>
  <c r="D94" i="9"/>
  <c r="G93" i="9"/>
  <c r="F20" i="12" s="1"/>
  <c r="G94" i="9"/>
  <c r="F21" i="12" s="1"/>
  <c r="I94" i="9"/>
  <c r="H21" i="12" s="1"/>
  <c r="I40" i="14"/>
  <c r="I40" i="17"/>
  <c r="F46" i="14"/>
  <c r="F46" i="17"/>
  <c r="H42" i="14"/>
  <c r="H42" i="17"/>
  <c r="E40" i="14"/>
  <c r="E40" i="17"/>
  <c r="G43" i="17"/>
  <c r="G43" i="14"/>
  <c r="C44" i="17"/>
  <c r="C44" i="14"/>
  <c r="E42" i="17"/>
  <c r="H39" i="14"/>
  <c r="H39" i="17"/>
  <c r="I41" i="14"/>
  <c r="I41" i="17"/>
  <c r="D43" i="17"/>
  <c r="D43" i="14"/>
  <c r="I44" i="17"/>
  <c r="I44" i="14"/>
  <c r="D42" i="17"/>
  <c r="K42" i="14"/>
  <c r="K42" i="17"/>
  <c r="J39" i="17"/>
  <c r="J39" i="14"/>
  <c r="F43" i="14"/>
  <c r="F43" i="17"/>
  <c r="G44" i="14"/>
  <c r="G44" i="17"/>
  <c r="J42" i="17"/>
  <c r="J42" i="14"/>
  <c r="K43" i="17"/>
  <c r="K43" i="14"/>
  <c r="L44" i="17"/>
  <c r="L44" i="14"/>
  <c r="C43" i="17"/>
  <c r="C43" i="14"/>
  <c r="G42" i="14"/>
  <c r="G42" i="17"/>
  <c r="L42" i="14"/>
  <c r="L42" i="17"/>
  <c r="F39" i="14"/>
  <c r="F39" i="17"/>
  <c r="E41" i="17"/>
  <c r="E41" i="14"/>
  <c r="L41" i="14"/>
  <c r="L41" i="17"/>
  <c r="L43" i="14"/>
  <c r="L43" i="17"/>
  <c r="I42" i="14"/>
  <c r="I42" i="17"/>
  <c r="D39" i="14"/>
  <c r="D39" i="17"/>
  <c r="G40" i="14"/>
  <c r="G40" i="17"/>
  <c r="G41" i="17"/>
  <c r="G41" i="14"/>
  <c r="K41" i="14"/>
  <c r="K41" i="17"/>
  <c r="I43" i="14"/>
  <c r="I43" i="17"/>
  <c r="K44" i="17"/>
  <c r="K44" i="14"/>
  <c r="D46" i="17"/>
  <c r="D41" i="17"/>
  <c r="M10" i="17"/>
  <c r="K70" i="9"/>
  <c r="K91" i="9" s="1"/>
  <c r="J18" i="12" s="1"/>
  <c r="I87" i="9"/>
  <c r="H14" i="12" s="1"/>
  <c r="D93" i="9"/>
  <c r="F44" i="17"/>
  <c r="F44" i="14"/>
  <c r="D48" i="14"/>
  <c r="D48" i="17"/>
  <c r="E48" i="17"/>
  <c r="E48" i="14"/>
  <c r="F48" i="14"/>
  <c r="F48" i="17"/>
  <c r="G48" i="14"/>
  <c r="G48" i="17"/>
  <c r="H48" i="17"/>
  <c r="H48" i="14"/>
  <c r="I48" i="14"/>
  <c r="I48" i="17"/>
  <c r="J48" i="17"/>
  <c r="J48" i="14"/>
  <c r="K48" i="17"/>
  <c r="K48" i="14"/>
  <c r="L48" i="14"/>
  <c r="L48" i="17"/>
  <c r="D49" i="14"/>
  <c r="D49" i="17"/>
  <c r="E49" i="14"/>
  <c r="E49" i="17"/>
  <c r="F49" i="14"/>
  <c r="F49" i="17"/>
  <c r="G49" i="17"/>
  <c r="G49" i="14"/>
  <c r="H49" i="17"/>
  <c r="H49" i="14"/>
  <c r="I49" i="17"/>
  <c r="I49" i="14"/>
  <c r="J49" i="17"/>
  <c r="J49" i="14"/>
  <c r="K49" i="14"/>
  <c r="K49" i="17"/>
  <c r="L49" i="14"/>
  <c r="L49" i="17"/>
  <c r="C50" i="14"/>
  <c r="C50" i="17"/>
  <c r="G50" i="14"/>
  <c r="G50" i="17"/>
  <c r="I50" i="14"/>
  <c r="I50" i="17"/>
  <c r="K50" i="14"/>
  <c r="K50" i="17"/>
  <c r="L50" i="14"/>
  <c r="L50" i="17"/>
  <c r="F51" i="14"/>
  <c r="F51" i="17"/>
  <c r="H51" i="17"/>
  <c r="H51" i="14"/>
  <c r="I51" i="14"/>
  <c r="I51" i="17"/>
  <c r="J51" i="14"/>
  <c r="J51" i="17"/>
  <c r="K51" i="14"/>
  <c r="K51" i="17"/>
  <c r="L51" i="14"/>
  <c r="L51" i="17"/>
  <c r="D52" i="17"/>
  <c r="D52" i="14"/>
  <c r="G52" i="14"/>
  <c r="G52" i="17"/>
  <c r="I52" i="17"/>
  <c r="I52" i="14"/>
  <c r="J52" i="17"/>
  <c r="J52" i="14"/>
  <c r="K52" i="14"/>
  <c r="K52" i="17"/>
  <c r="L52" i="14"/>
  <c r="L52" i="17"/>
  <c r="D53" i="14"/>
  <c r="D53" i="17"/>
  <c r="G53" i="14"/>
  <c r="G53" i="17"/>
  <c r="I53" i="14"/>
  <c r="I53" i="17"/>
  <c r="J53" i="17"/>
  <c r="J53" i="14"/>
  <c r="K53" i="14"/>
  <c r="K53" i="17"/>
  <c r="L53" i="14"/>
  <c r="L53" i="17"/>
  <c r="C55" i="17"/>
  <c r="C55" i="14"/>
  <c r="E55" i="17"/>
  <c r="E55" i="14"/>
  <c r="G55" i="14"/>
  <c r="G55" i="17"/>
  <c r="H55" i="17"/>
  <c r="H55" i="14"/>
  <c r="I55" i="14"/>
  <c r="I55" i="17"/>
  <c r="J55" i="17"/>
  <c r="J55" i="14"/>
  <c r="K55" i="17"/>
  <c r="K55" i="14"/>
  <c r="L55" i="17"/>
  <c r="L55" i="14"/>
  <c r="D56" i="14"/>
  <c r="D56" i="17"/>
  <c r="G56" i="14"/>
  <c r="G56" i="17"/>
  <c r="I56" i="17"/>
  <c r="I56" i="14"/>
  <c r="J56" i="14"/>
  <c r="J56" i="17"/>
  <c r="K56" i="14"/>
  <c r="K56" i="17"/>
  <c r="L56" i="14"/>
  <c r="L56" i="17"/>
  <c r="C57" i="17"/>
  <c r="C57" i="14"/>
  <c r="E57" i="17"/>
  <c r="E57" i="14"/>
  <c r="G57" i="17"/>
  <c r="G57" i="14"/>
  <c r="I57" i="14"/>
  <c r="I57" i="17"/>
  <c r="K57" i="14"/>
  <c r="K57" i="17"/>
  <c r="L57" i="14"/>
  <c r="L57" i="17"/>
  <c r="D58" i="14"/>
  <c r="D58" i="17"/>
  <c r="E58" i="17"/>
  <c r="E58" i="14"/>
  <c r="F58" i="17"/>
  <c r="F58" i="14"/>
  <c r="G58" i="17"/>
  <c r="G58" i="14"/>
  <c r="H58" i="14"/>
  <c r="H58" i="17"/>
  <c r="I58" i="14"/>
  <c r="I58" i="17"/>
  <c r="K58" i="14"/>
  <c r="K58" i="17"/>
  <c r="L58" i="17"/>
  <c r="L58" i="14"/>
  <c r="E47" i="14"/>
  <c r="E47" i="17"/>
  <c r="F47" i="17"/>
  <c r="F47" i="14"/>
  <c r="G47" i="14"/>
  <c r="G47" i="17"/>
  <c r="L47" i="17"/>
  <c r="L47" i="14"/>
  <c r="I47" i="17"/>
  <c r="I47" i="14"/>
  <c r="J47" i="17"/>
  <c r="J47" i="14"/>
  <c r="K47" i="14"/>
  <c r="K47" i="17"/>
  <c r="H47" i="17"/>
  <c r="H47" i="14"/>
  <c r="N88" i="9"/>
  <c r="D47" i="14"/>
  <c r="D47" i="17"/>
  <c r="E52" i="14"/>
  <c r="E52" i="17"/>
  <c r="F52" i="17"/>
  <c r="F52" i="14"/>
  <c r="H52" i="17"/>
  <c r="H52" i="14"/>
  <c r="E53" i="14"/>
  <c r="E53" i="17"/>
  <c r="F53" i="14"/>
  <c r="F53" i="17"/>
  <c r="H53" i="14"/>
  <c r="H53" i="17"/>
  <c r="D51" i="14"/>
  <c r="D51" i="17"/>
  <c r="J58" i="14"/>
  <c r="J58" i="17"/>
  <c r="D59" i="14"/>
  <c r="D59" i="17"/>
  <c r="J57" i="14"/>
  <c r="J57" i="17"/>
  <c r="G51" i="17"/>
  <c r="G51" i="14"/>
  <c r="E51" i="14"/>
  <c r="E51" i="17"/>
  <c r="F84" i="9"/>
  <c r="E11" i="12" s="1"/>
  <c r="S39" i="17"/>
  <c r="AE39" i="17" s="1"/>
  <c r="X38" i="17"/>
  <c r="CA39" i="18"/>
  <c r="CC39" i="18"/>
  <c r="BV40" i="18"/>
  <c r="CB40" i="18"/>
  <c r="CA41" i="18"/>
  <c r="CC41" i="18"/>
  <c r="CF41" i="18"/>
  <c r="CB42" i="18"/>
  <c r="BV43" i="18"/>
  <c r="BX43" i="18"/>
  <c r="CF43" i="18"/>
  <c r="BW44" i="18"/>
  <c r="CB44" i="18"/>
  <c r="BX45" i="18"/>
  <c r="BW46" i="18"/>
  <c r="CE46" i="18"/>
  <c r="BU47" i="18"/>
  <c r="BX47" i="18"/>
  <c r="CC47" i="18"/>
  <c r="CB39" i="18"/>
  <c r="BU40" i="18"/>
  <c r="CD40" i="18"/>
  <c r="BV41" i="18"/>
  <c r="BZ42" i="18"/>
  <c r="CE43" i="18"/>
  <c r="BV45" i="18"/>
  <c r="CC45" i="18"/>
  <c r="BY50" i="18"/>
  <c r="CE40" i="18"/>
  <c r="BX41" i="18"/>
  <c r="CB41" i="18"/>
  <c r="BW42" i="18"/>
  <c r="BY43" i="18"/>
  <c r="CB43" i="18"/>
  <c r="BV44" i="18"/>
  <c r="BX44" i="18"/>
  <c r="CE44" i="18"/>
  <c r="BY45" i="18"/>
  <c r="CD45" i="18"/>
  <c r="BV46" i="18"/>
  <c r="BZ47" i="18"/>
  <c r="BY40" i="18"/>
  <c r="BX42" i="18"/>
  <c r="CE42" i="18"/>
  <c r="BU43" i="18"/>
  <c r="BZ43" i="18"/>
  <c r="CA45" i="18"/>
  <c r="BU46" i="18"/>
  <c r="CC46" i="18"/>
  <c r="CF46" i="18"/>
  <c r="BY47" i="18"/>
  <c r="BV48" i="18"/>
  <c r="BZ48" i="18"/>
  <c r="CF48" i="18"/>
  <c r="CC49" i="18"/>
  <c r="BW50" i="18"/>
  <c r="BY39" i="18"/>
  <c r="BW40" i="18"/>
  <c r="BZ40" i="18"/>
  <c r="CF40" i="18"/>
  <c r="CF42" i="18"/>
  <c r="BW43" i="18"/>
  <c r="CD43" i="18"/>
  <c r="CC44" i="18"/>
  <c r="CB46" i="18"/>
  <c r="CA47" i="18"/>
  <c r="CE47" i="18"/>
  <c r="CA48" i="18"/>
  <c r="BX49" i="18"/>
  <c r="CF50" i="18"/>
  <c r="BX39" i="18"/>
  <c r="CE41" i="18"/>
  <c r="CF44" i="18"/>
  <c r="CD46" i="18"/>
  <c r="CB48" i="18"/>
  <c r="BV49" i="18"/>
  <c r="BU50" i="18"/>
  <c r="CE50" i="18"/>
  <c r="BV39" i="18"/>
  <c r="CD39" i="18"/>
  <c r="CC40" i="18"/>
  <c r="BW41" i="18"/>
  <c r="CA44" i="18"/>
  <c r="BW45" i="18"/>
  <c r="CB45" i="18"/>
  <c r="BY46" i="18"/>
  <c r="BX48" i="18"/>
  <c r="CD48" i="18"/>
  <c r="CE48" i="18"/>
  <c r="CA49" i="18"/>
  <c r="CC50" i="18"/>
  <c r="BW39" i="18"/>
  <c r="BZ39" i="18"/>
  <c r="CA40" i="18"/>
  <c r="BY41" i="18"/>
  <c r="BZ41" i="18"/>
  <c r="CD41" i="18"/>
  <c r="CC42" i="18"/>
  <c r="BY44" i="18"/>
  <c r="BZ44" i="18"/>
  <c r="BZ45" i="18"/>
  <c r="CB47" i="18"/>
  <c r="BY48" i="18"/>
  <c r="BW49" i="18"/>
  <c r="CD49" i="18"/>
  <c r="BV50" i="18"/>
  <c r="BX50" i="18"/>
  <c r="CA50" i="18"/>
  <c r="BX40" i="18"/>
  <c r="BY42" i="18"/>
  <c r="BU45" i="18"/>
  <c r="CD47" i="18"/>
  <c r="BU49" i="18"/>
  <c r="CE49" i="18"/>
  <c r="CB50" i="18"/>
  <c r="BU39" i="18"/>
  <c r="CF39" i="18"/>
  <c r="BU41" i="18"/>
  <c r="BU42" i="18"/>
  <c r="CA42" i="18"/>
  <c r="CD42" i="18"/>
  <c r="CA43" i="18"/>
  <c r="BU44" i="18"/>
  <c r="CE45" i="18"/>
  <c r="CA46" i="18"/>
  <c r="BV47" i="18"/>
  <c r="CF47" i="18"/>
  <c r="BW48" i="18"/>
  <c r="BY49" i="18"/>
  <c r="CD50" i="18"/>
  <c r="CE39" i="18"/>
  <c r="BV42" i="18"/>
  <c r="CC43" i="18"/>
  <c r="CD44" i="18"/>
  <c r="CF45" i="18"/>
  <c r="BX46" i="18"/>
  <c r="BZ46" i="18"/>
  <c r="BW47" i="18"/>
  <c r="BU48" i="18"/>
  <c r="CC48" i="18"/>
  <c r="BZ49" i="18"/>
  <c r="CB49" i="18"/>
  <c r="CF49" i="18"/>
  <c r="BZ50" i="18"/>
  <c r="AE20" i="17"/>
  <c r="F23" i="17"/>
  <c r="AD28" i="17"/>
  <c r="X28" i="17"/>
  <c r="AJ28" i="17" s="1"/>
  <c r="AJ27" i="17"/>
  <c r="AJ10" i="17"/>
  <c r="L7" i="17"/>
  <c r="AD20" i="17"/>
  <c r="AD29" i="17"/>
  <c r="X29" i="17"/>
  <c r="AJ29" i="17" s="1"/>
  <c r="AJ9" i="17"/>
  <c r="AJ18" i="17"/>
  <c r="AJ19" i="17"/>
  <c r="X20" i="17"/>
  <c r="AJ20" i="17" s="1"/>
  <c r="AE48" i="13"/>
  <c r="AJ36" i="14"/>
  <c r="AE47" i="13"/>
  <c r="AJ35" i="14"/>
  <c r="AE46" i="13"/>
  <c r="AJ34" i="14"/>
  <c r="AE45" i="13"/>
  <c r="AJ33" i="14"/>
  <c r="AE44" i="13"/>
  <c r="AJ32" i="14"/>
  <c r="AE43" i="13"/>
  <c r="AJ31" i="14"/>
  <c r="AE42" i="13"/>
  <c r="AJ30" i="14"/>
  <c r="AJ29" i="14"/>
  <c r="AE41" i="13"/>
  <c r="AE40" i="13"/>
  <c r="AJ28" i="14"/>
  <c r="AE39" i="13"/>
  <c r="AJ27" i="14"/>
  <c r="AJ37" i="14"/>
  <c r="AE49" i="13"/>
  <c r="AJ38" i="14"/>
  <c r="AE50" i="13"/>
  <c r="F55" i="14"/>
  <c r="AJ20" i="14"/>
  <c r="K85" i="9"/>
  <c r="J12" i="12" s="1"/>
  <c r="H45" i="14"/>
  <c r="E91" i="9"/>
  <c r="D18" i="12" s="1"/>
  <c r="F45" i="14"/>
  <c r="E86" i="9"/>
  <c r="D13" i="12" s="1"/>
  <c r="M86" i="9"/>
  <c r="D81" i="9"/>
  <c r="C8" i="12" s="1"/>
  <c r="D95" i="9"/>
  <c r="M95" i="9"/>
  <c r="J86" i="9"/>
  <c r="L86" i="9"/>
  <c r="O47" i="9"/>
  <c r="K86" i="9"/>
  <c r="H86" i="9"/>
  <c r="X39" i="14"/>
  <c r="AB51" i="11"/>
  <c r="AF40" i="11"/>
  <c r="AF41" i="11"/>
  <c r="AF42" i="11"/>
  <c r="AF43" i="11"/>
  <c r="AF44" i="11"/>
  <c r="AF45" i="11"/>
  <c r="AF46" i="11"/>
  <c r="AF47" i="11"/>
  <c r="AF48" i="11"/>
  <c r="AF49" i="11"/>
  <c r="AF50" i="11"/>
  <c r="CI39" i="11"/>
  <c r="AF39" i="11"/>
  <c r="D68" i="9"/>
  <c r="N83" i="9"/>
  <c r="N89" i="9"/>
  <c r="N90" i="9"/>
  <c r="N85" i="9"/>
  <c r="N86" i="9"/>
  <c r="N59" i="9"/>
  <c r="N20" i="9"/>
  <c r="X54" i="11"/>
  <c r="B51" i="11"/>
  <c r="X64" i="11"/>
  <c r="N61" i="9"/>
  <c r="N62" i="9"/>
  <c r="N100" i="9"/>
  <c r="B24" i="10"/>
  <c r="B39" i="10"/>
  <c r="B51" i="10" s="1"/>
  <c r="X64" i="10"/>
  <c r="X54" i="10"/>
  <c r="N47" i="9"/>
  <c r="N49" i="9"/>
  <c r="N53" i="9"/>
  <c r="N60" i="9"/>
  <c r="N97" i="9"/>
  <c r="N99" i="9"/>
  <c r="N92" i="9"/>
  <c r="N98" i="9"/>
  <c r="N96" i="9"/>
  <c r="N52" i="9"/>
  <c r="L68" i="9"/>
  <c r="L29" i="9"/>
  <c r="L34" i="9" s="1"/>
  <c r="N54" i="9"/>
  <c r="N63" i="9"/>
  <c r="N64" i="9"/>
  <c r="N65" i="9"/>
  <c r="N66" i="9"/>
  <c r="F29" i="9"/>
  <c r="F34" i="9" s="1"/>
  <c r="F39" i="9" s="1"/>
  <c r="D29" i="9"/>
  <c r="D34" i="9" s="1"/>
  <c r="D39" i="9" s="1"/>
  <c r="N48" i="9"/>
  <c r="BX49" i="11" l="1"/>
  <c r="CE43" i="11"/>
  <c r="CB46" i="11"/>
  <c r="BU48" i="11"/>
  <c r="BW42" i="11"/>
  <c r="CA43" i="11"/>
  <c r="CF43" i="11"/>
  <c r="CD44" i="11"/>
  <c r="BY47" i="11"/>
  <c r="BW48" i="11"/>
  <c r="CB48" i="11"/>
  <c r="CC48" i="11"/>
  <c r="CF50" i="11"/>
  <c r="BV42" i="11"/>
  <c r="BV44" i="11"/>
  <c r="CA44" i="11"/>
  <c r="CD50" i="11"/>
  <c r="BY49" i="11"/>
  <c r="CE39" i="11"/>
  <c r="CD46" i="11"/>
  <c r="CE50" i="11"/>
  <c r="BU41" i="11"/>
  <c r="CF44" i="11"/>
  <c r="CC45" i="11"/>
  <c r="CC42" i="11"/>
  <c r="BU43" i="11"/>
  <c r="BV48" i="11"/>
  <c r="CF49" i="11"/>
  <c r="BZ49" i="11"/>
  <c r="BX48" i="11"/>
  <c r="BX39" i="11"/>
  <c r="BY50" i="11"/>
  <c r="BZ39" i="11"/>
  <c r="CB40" i="11"/>
  <c r="CF40" i="11"/>
  <c r="BW41" i="11"/>
  <c r="CA41" i="11"/>
  <c r="CB42" i="11"/>
  <c r="CB43" i="11"/>
  <c r="BU45" i="11"/>
  <c r="BV46" i="11"/>
  <c r="BU47" i="11"/>
  <c r="BW39" i="11"/>
  <c r="BW40" i="11"/>
  <c r="CC40" i="11"/>
  <c r="CF41" i="11"/>
  <c r="BX44" i="11"/>
  <c r="BV47" i="11"/>
  <c r="CB49" i="11"/>
  <c r="CA50" i="11"/>
  <c r="BV41" i="11"/>
  <c r="BZ41" i="11"/>
  <c r="BX47" i="11"/>
  <c r="CE49" i="11"/>
  <c r="CC41" i="11"/>
  <c r="BV43" i="11"/>
  <c r="BZ44" i="11"/>
  <c r="CF46" i="11"/>
  <c r="CA49" i="11"/>
  <c r="CE42" i="11"/>
  <c r="CD43" i="11"/>
  <c r="CB45" i="11"/>
  <c r="BU42" i="11"/>
  <c r="CD49" i="11"/>
  <c r="BY41" i="11"/>
  <c r="BW44" i="11"/>
  <c r="CE44" i="11"/>
  <c r="CD45" i="11"/>
  <c r="BX46" i="11"/>
  <c r="CA48" i="11"/>
  <c r="BU50" i="11"/>
  <c r="BV50" i="11"/>
  <c r="BV49" i="11"/>
  <c r="CC46" i="11"/>
  <c r="BW47" i="11"/>
  <c r="CF48" i="11"/>
  <c r="BY39" i="11"/>
  <c r="BZ47" i="11"/>
  <c r="CE46" i="11"/>
  <c r="CD42" i="11"/>
  <c r="CA45" i="11"/>
  <c r="BY48" i="11"/>
  <c r="CE48" i="11"/>
  <c r="BU39" i="11"/>
  <c r="CD39" i="11"/>
  <c r="BX40" i="11"/>
  <c r="CE41" i="11"/>
  <c r="CE47" i="11"/>
  <c r="BU49" i="11"/>
  <c r="BW43" i="11"/>
  <c r="CE45" i="11"/>
  <c r="BZ50" i="11"/>
  <c r="BX41" i="11"/>
  <c r="BX42" i="11"/>
  <c r="CF42" i="11"/>
  <c r="BW46" i="11"/>
  <c r="CC50" i="11"/>
  <c r="BY46" i="11"/>
  <c r="BX50" i="11"/>
  <c r="CB41" i="11"/>
  <c r="CF45" i="11"/>
  <c r="CC47" i="11"/>
  <c r="CC49" i="11"/>
  <c r="BY42" i="11"/>
  <c r="BW49" i="11"/>
  <c r="BW50" i="11"/>
  <c r="BX43" i="11"/>
  <c r="BV45" i="11"/>
  <c r="BZ48" i="11"/>
  <c r="BZ42" i="11"/>
  <c r="BX45" i="11"/>
  <c r="BU46" i="11"/>
  <c r="CD40" i="11"/>
  <c r="CA40" i="11"/>
  <c r="CD48" i="11"/>
  <c r="BV40" i="11"/>
  <c r="CC44" i="11"/>
  <c r="CA46" i="11"/>
  <c r="BU44" i="11"/>
  <c r="BZ46" i="11"/>
  <c r="CF47" i="11"/>
  <c r="BU40" i="11"/>
  <c r="BY40" i="11"/>
  <c r="CE40" i="11"/>
  <c r="BY45" i="11"/>
  <c r="CA47" i="11"/>
  <c r="BV39" i="11"/>
  <c r="CC39" i="11"/>
  <c r="CD41" i="11"/>
  <c r="BZ43" i="11"/>
  <c r="CB39" i="11"/>
  <c r="CF39" i="11"/>
  <c r="BZ40" i="11"/>
  <c r="BY43" i="11"/>
  <c r="BZ45" i="11"/>
  <c r="CA39" i="11"/>
  <c r="CB44" i="11"/>
  <c r="CA42" i="11"/>
  <c r="CB50" i="11"/>
  <c r="CD47" i="11"/>
  <c r="BY44" i="11"/>
  <c r="CC43" i="11"/>
  <c r="CB47" i="11"/>
  <c r="BW45" i="11"/>
  <c r="G161" i="9"/>
  <c r="N147" i="9"/>
  <c r="K165" i="9"/>
  <c r="J14" i="12"/>
  <c r="L165" i="9"/>
  <c r="K14" i="12"/>
  <c r="K28" i="12" s="1"/>
  <c r="D160" i="9"/>
  <c r="G162" i="9" s="1"/>
  <c r="G163" i="9" s="1"/>
  <c r="G176" i="9" s="1"/>
  <c r="D151" i="9"/>
  <c r="D153" i="9" s="1"/>
  <c r="C13" i="12"/>
  <c r="N94" i="9"/>
  <c r="C21" i="12"/>
  <c r="C20" i="12"/>
  <c r="M160" i="9"/>
  <c r="M161" i="9" s="1"/>
  <c r="L13" i="12"/>
  <c r="C22" i="12"/>
  <c r="L54" i="17"/>
  <c r="L22" i="12"/>
  <c r="J160" i="9"/>
  <c r="J161" i="9" s="1"/>
  <c r="I13" i="12"/>
  <c r="L160" i="9"/>
  <c r="L161" i="9" s="1"/>
  <c r="K13" i="12"/>
  <c r="K160" i="9"/>
  <c r="K161" i="9" s="1"/>
  <c r="J13" i="12"/>
  <c r="H160" i="9"/>
  <c r="H161" i="9" s="1"/>
  <c r="G13" i="12"/>
  <c r="I149" i="9"/>
  <c r="I165" i="9"/>
  <c r="L149" i="9"/>
  <c r="N82" i="9"/>
  <c r="J54" i="17"/>
  <c r="J54" i="14"/>
  <c r="E160" i="9"/>
  <c r="C45" i="17"/>
  <c r="E54" i="14"/>
  <c r="H54" i="14"/>
  <c r="H54" i="17"/>
  <c r="E46" i="12"/>
  <c r="D45" i="17"/>
  <c r="D46" i="12"/>
  <c r="L45" i="17"/>
  <c r="L46" i="12"/>
  <c r="I45" i="17"/>
  <c r="I46" i="12"/>
  <c r="K45" i="17"/>
  <c r="K46" i="12"/>
  <c r="J45" i="17"/>
  <c r="J46" i="12"/>
  <c r="G45" i="17"/>
  <c r="G46" i="12"/>
  <c r="F91" i="9"/>
  <c r="N93" i="9"/>
  <c r="M10" i="14"/>
  <c r="E42" i="14"/>
  <c r="M20" i="17"/>
  <c r="C52" i="17"/>
  <c r="M16" i="14"/>
  <c r="C48" i="14"/>
  <c r="M16" i="17"/>
  <c r="C48" i="17"/>
  <c r="M17" i="14"/>
  <c r="C49" i="14"/>
  <c r="M17" i="17"/>
  <c r="C49" i="17"/>
  <c r="C51" i="14"/>
  <c r="M19" i="14"/>
  <c r="C51" i="17"/>
  <c r="M19" i="17"/>
  <c r="M24" i="14"/>
  <c r="E56" i="14"/>
  <c r="M24" i="17"/>
  <c r="E56" i="17"/>
  <c r="C58" i="17"/>
  <c r="M26" i="17"/>
  <c r="M58" i="17" s="1"/>
  <c r="C58" i="14"/>
  <c r="M26" i="14"/>
  <c r="M58" i="14" s="1"/>
  <c r="M27" i="17"/>
  <c r="H59" i="17"/>
  <c r="H59" i="14"/>
  <c r="M27" i="14"/>
  <c r="F57" i="17"/>
  <c r="F57" i="14"/>
  <c r="H57" i="17"/>
  <c r="H57" i="14"/>
  <c r="N80" i="9"/>
  <c r="L101" i="9"/>
  <c r="C54" i="17"/>
  <c r="AJ38" i="17"/>
  <c r="F55" i="17"/>
  <c r="L39" i="17"/>
  <c r="X39" i="17"/>
  <c r="AJ39" i="14"/>
  <c r="AE51" i="13"/>
  <c r="D45" i="14"/>
  <c r="L45" i="14"/>
  <c r="M20" i="14"/>
  <c r="C52" i="14"/>
  <c r="L54" i="14"/>
  <c r="C45" i="14"/>
  <c r="I45" i="14"/>
  <c r="K45" i="14"/>
  <c r="O80" i="9"/>
  <c r="G119" i="9" s="1"/>
  <c r="J45" i="14"/>
  <c r="G45" i="14"/>
  <c r="N81" i="9"/>
  <c r="CH39" i="11" a="1"/>
  <c r="L103" i="9"/>
  <c r="L39" i="9"/>
  <c r="F68" i="9"/>
  <c r="F162" i="9" l="1"/>
  <c r="F163" i="9" s="1"/>
  <c r="F176" i="9" s="1"/>
  <c r="D162" i="9"/>
  <c r="D163" i="9" s="1"/>
  <c r="D161" i="9"/>
  <c r="N161" i="9" s="1"/>
  <c r="N160" i="9"/>
  <c r="E161" i="9"/>
  <c r="E162" i="9"/>
  <c r="E163" i="9" s="1"/>
  <c r="E176" i="9" s="1"/>
  <c r="E54" i="17"/>
  <c r="M22" i="17"/>
  <c r="F101" i="9"/>
  <c r="F103" i="9" s="1"/>
  <c r="N91" i="9"/>
  <c r="E18" i="12"/>
  <c r="E28" i="12" s="1"/>
  <c r="D165" i="9"/>
  <c r="I166" i="9" s="1"/>
  <c r="I167" i="9" s="1"/>
  <c r="I178" i="9" s="1"/>
  <c r="C14" i="12"/>
  <c r="L166" i="9"/>
  <c r="L167" i="9" s="1"/>
  <c r="L178" i="9" s="1"/>
  <c r="G166" i="9"/>
  <c r="G167" i="9" s="1"/>
  <c r="G178" i="9" s="1"/>
  <c r="M166" i="9"/>
  <c r="M167" i="9" s="1"/>
  <c r="M178" i="9" s="1"/>
  <c r="H166" i="9"/>
  <c r="H167" i="9" s="1"/>
  <c r="H178" i="9" s="1"/>
  <c r="F166" i="9"/>
  <c r="F167" i="9" s="1"/>
  <c r="F178" i="9" s="1"/>
  <c r="E166" i="9"/>
  <c r="E167" i="9" s="1"/>
  <c r="E178" i="9" s="1"/>
  <c r="J166" i="9"/>
  <c r="J167" i="9" s="1"/>
  <c r="J178" i="9" s="1"/>
  <c r="D166" i="9"/>
  <c r="D167" i="9" s="1"/>
  <c r="D178" i="9" s="1"/>
  <c r="K166" i="9"/>
  <c r="K167" i="9" s="1"/>
  <c r="K178" i="9" s="1"/>
  <c r="D149" i="9"/>
  <c r="D155" i="9"/>
  <c r="D157" i="9" s="1"/>
  <c r="I162" i="9"/>
  <c r="I163" i="9" s="1"/>
  <c r="I176" i="9" s="1"/>
  <c r="K162" i="9"/>
  <c r="K163" i="9" s="1"/>
  <c r="K176" i="9" s="1"/>
  <c r="H162" i="9"/>
  <c r="H163" i="9" s="1"/>
  <c r="H176" i="9" s="1"/>
  <c r="L162" i="9"/>
  <c r="L163" i="9" s="1"/>
  <c r="L176" i="9" s="1"/>
  <c r="J162" i="9"/>
  <c r="J163" i="9" s="1"/>
  <c r="J176" i="9" s="1"/>
  <c r="M162" i="9"/>
  <c r="M163" i="9" s="1"/>
  <c r="M176" i="9" s="1"/>
  <c r="E45" i="17"/>
  <c r="M13" i="17"/>
  <c r="C47" i="14"/>
  <c r="M15" i="14"/>
  <c r="C47" i="17"/>
  <c r="M15" i="17"/>
  <c r="M21" i="14"/>
  <c r="C53" i="14"/>
  <c r="C53" i="17"/>
  <c r="M21" i="17"/>
  <c r="AJ39" i="17"/>
  <c r="M22" i="14"/>
  <c r="C54" i="14"/>
  <c r="N87" i="9"/>
  <c r="N7" i="12"/>
  <c r="J58" i="12"/>
  <c r="D101" i="9"/>
  <c r="D103" i="9" s="1"/>
  <c r="CH39" i="11"/>
  <c r="CH40" i="11"/>
  <c r="CH41" i="11"/>
  <c r="CH42" i="11"/>
  <c r="CH43" i="11"/>
  <c r="CH44" i="11"/>
  <c r="CH45" i="11"/>
  <c r="CH46" i="11"/>
  <c r="CH47" i="11"/>
  <c r="CH48" i="11"/>
  <c r="CH49" i="11"/>
  <c r="CH50" i="11"/>
  <c r="N67" i="9"/>
  <c r="N58" i="9"/>
  <c r="F182" i="9" l="1"/>
  <c r="F184" i="9" s="1"/>
  <c r="D56" i="12"/>
  <c r="C47" i="12"/>
  <c r="N162" i="9"/>
  <c r="N163" i="9"/>
  <c r="E45" i="14"/>
  <c r="M13" i="14"/>
  <c r="N178" i="9"/>
  <c r="I182" i="9"/>
  <c r="H182" i="9"/>
  <c r="M182" i="9"/>
  <c r="L182" i="9"/>
  <c r="J182" i="9"/>
  <c r="K182" i="9"/>
  <c r="G182" i="9"/>
  <c r="E182" i="9"/>
  <c r="N176" i="9"/>
  <c r="D51" i="12"/>
  <c r="D182" i="9" l="1"/>
  <c r="D184" i="9" s="1"/>
  <c r="M184" i="9"/>
  <c r="L184" i="9"/>
  <c r="G184" i="9"/>
  <c r="K47" i="12"/>
  <c r="C28" i="12"/>
  <c r="D58" i="12"/>
  <c r="E184" i="9" l="1"/>
  <c r="E200" i="9" s="1"/>
  <c r="N182" i="9"/>
  <c r="D194" i="9"/>
  <c r="G194" i="9"/>
  <c r="G200" i="9"/>
  <c r="G199" i="9"/>
  <c r="L196" i="9"/>
  <c r="L195" i="9"/>
  <c r="L193" i="9"/>
  <c r="F192" i="9"/>
  <c r="F193" i="9"/>
  <c r="L194" i="9"/>
  <c r="F194" i="9"/>
  <c r="L198" i="9"/>
  <c r="M192" i="9"/>
  <c r="G198" i="9"/>
  <c r="L192" i="9"/>
  <c r="M197" i="9"/>
  <c r="M193" i="9"/>
  <c r="L200" i="9"/>
  <c r="L199" i="9"/>
  <c r="L197" i="9"/>
  <c r="F200" i="9"/>
  <c r="F196" i="9"/>
  <c r="F199" i="9"/>
  <c r="F198" i="9"/>
  <c r="F195" i="9"/>
  <c r="F197" i="9"/>
  <c r="G197" i="9"/>
  <c r="G195" i="9"/>
  <c r="G196" i="9"/>
  <c r="G192" i="9"/>
  <c r="G193" i="9"/>
  <c r="M194" i="9"/>
  <c r="M200" i="9"/>
  <c r="M198" i="9"/>
  <c r="M199" i="9"/>
  <c r="M196" i="9"/>
  <c r="M195" i="9"/>
  <c r="N95" i="9"/>
  <c r="D196" i="9" l="1"/>
  <c r="D193" i="9"/>
  <c r="D192" i="9"/>
  <c r="D199" i="9"/>
  <c r="D195" i="9"/>
  <c r="D198" i="9"/>
  <c r="E194" i="9"/>
  <c r="E199" i="9"/>
  <c r="E196" i="9"/>
  <c r="E198" i="9"/>
  <c r="E197" i="9"/>
  <c r="E192" i="9"/>
  <c r="E193" i="9"/>
  <c r="E195" i="9"/>
  <c r="BU39" i="13" a="1"/>
  <c r="D200" i="9" l="1"/>
  <c r="CC39" i="13"/>
  <c r="BY48" i="13"/>
  <c r="BU40" i="13"/>
  <c r="CF42" i="13"/>
  <c r="BV39" i="13"/>
  <c r="CD40" i="13"/>
  <c r="BV42" i="13"/>
  <c r="BW45" i="13"/>
  <c r="BX48" i="13"/>
  <c r="CC42" i="13"/>
  <c r="CA47" i="13"/>
  <c r="BV46" i="13"/>
  <c r="CB50" i="13"/>
  <c r="BZ39" i="13"/>
  <c r="CA39" i="13"/>
  <c r="BU41" i="13"/>
  <c r="CD43" i="13"/>
  <c r="CA41" i="13"/>
  <c r="CE39" i="13"/>
  <c r="BU39" i="13"/>
  <c r="BX49" i="13"/>
  <c r="CE45" i="13"/>
  <c r="CA43" i="13"/>
  <c r="CC45" i="13"/>
  <c r="BY43" i="13"/>
  <c r="CC40" i="13"/>
  <c r="BX42" i="13"/>
  <c r="CF48" i="13"/>
  <c r="CA50" i="13"/>
  <c r="BW49" i="13"/>
  <c r="BW44" i="13"/>
  <c r="BV47" i="13"/>
  <c r="BZ50" i="13"/>
  <c r="CD45" i="13"/>
  <c r="CB43" i="13"/>
  <c r="BZ42" i="13"/>
  <c r="BU42" i="13"/>
  <c r="CB49" i="13"/>
  <c r="CD48" i="13"/>
  <c r="BY45" i="13"/>
  <c r="BY44" i="13"/>
  <c r="CA46" i="13"/>
  <c r="BV45" i="13"/>
  <c r="BV43" i="13"/>
  <c r="BY50" i="13"/>
  <c r="CB40" i="13"/>
  <c r="CB47" i="13"/>
  <c r="CE49" i="13"/>
  <c r="BU44" i="13"/>
  <c r="BV40" i="13"/>
  <c r="CD50" i="13"/>
  <c r="CD42" i="13"/>
  <c r="CA45" i="13"/>
  <c r="CB41" i="13"/>
  <c r="CF45" i="13"/>
  <c r="BY42" i="13"/>
  <c r="BX39" i="13"/>
  <c r="CB42" i="13"/>
  <c r="BX46" i="13"/>
  <c r="BU45" i="13"/>
  <c r="CF39" i="13"/>
  <c r="BX47" i="13"/>
  <c r="CF41" i="13"/>
  <c r="BZ48" i="13"/>
  <c r="BZ47" i="13"/>
  <c r="BX44" i="13"/>
  <c r="CF47" i="13"/>
  <c r="CE42" i="13"/>
  <c r="BW47" i="13"/>
  <c r="BY46" i="13"/>
  <c r="BZ46" i="13"/>
  <c r="BZ49" i="13"/>
  <c r="BV50" i="13"/>
  <c r="CD49" i="13"/>
  <c r="BU49" i="13"/>
  <c r="BW41" i="13"/>
  <c r="CE50" i="13"/>
  <c r="BW48" i="13"/>
  <c r="CE40" i="13"/>
  <c r="CE46" i="13"/>
  <c r="CB44" i="13"/>
  <c r="BW39" i="13"/>
  <c r="BU50" i="13"/>
  <c r="CD44" i="13"/>
  <c r="BX45" i="13"/>
  <c r="CE41" i="13"/>
  <c r="BU46" i="13"/>
  <c r="CA49" i="13"/>
  <c r="BW40" i="13"/>
  <c r="CB48" i="13"/>
  <c r="BX43" i="13"/>
  <c r="CF50" i="13"/>
  <c r="CF40" i="13"/>
  <c r="CC49" i="13"/>
  <c r="BZ45" i="13"/>
  <c r="BY47" i="13"/>
  <c r="BX40" i="13"/>
  <c r="CC50" i="13"/>
  <c r="BV44" i="13"/>
  <c r="BZ41" i="13"/>
  <c r="CE48" i="13"/>
  <c r="CB39" i="13"/>
  <c r="BW46" i="13"/>
  <c r="CD46" i="13"/>
  <c r="CA42" i="13"/>
  <c r="CE47" i="13"/>
  <c r="CF46" i="13"/>
  <c r="CC48" i="13"/>
  <c r="CF44" i="13"/>
  <c r="BY40" i="13"/>
  <c r="CC46" i="13"/>
  <c r="CD39" i="13"/>
  <c r="BV48" i="13"/>
  <c r="CB45" i="13"/>
  <c r="BW43" i="13"/>
  <c r="BU47" i="13"/>
  <c r="CE43" i="13"/>
  <c r="BU43" i="13"/>
  <c r="CC43" i="13"/>
  <c r="CA48" i="13"/>
  <c r="CC47" i="13"/>
  <c r="CB46" i="13"/>
  <c r="BY39" i="13"/>
  <c r="CC41" i="13"/>
  <c r="CF49" i="13"/>
  <c r="BU48" i="13"/>
  <c r="BZ40" i="13"/>
  <c r="BZ43" i="13"/>
  <c r="BY41" i="13"/>
  <c r="CD41" i="13"/>
  <c r="BW42" i="13"/>
  <c r="BZ44" i="13"/>
  <c r="CA40" i="13"/>
  <c r="BX50" i="13"/>
  <c r="CC44" i="13"/>
  <c r="BV41" i="13"/>
  <c r="CF43" i="13"/>
  <c r="CA44" i="13"/>
  <c r="BY49" i="13"/>
  <c r="CE44" i="13"/>
  <c r="BW50" i="13"/>
  <c r="BV49" i="13"/>
  <c r="BX41" i="13"/>
  <c r="CD47" i="13"/>
  <c r="CH39" i="13" l="1" a="1"/>
  <c r="CH48" i="13" l="1"/>
  <c r="AA17" i="14" s="1"/>
  <c r="CH40" i="13"/>
  <c r="AA9" i="14" s="1"/>
  <c r="CH45" i="13"/>
  <c r="AA14" i="14" s="1"/>
  <c r="CH39" i="13"/>
  <c r="AA8" i="14" s="1"/>
  <c r="CH49" i="13"/>
  <c r="AA18" i="14" s="1"/>
  <c r="CH47" i="13"/>
  <c r="AA16" i="14" s="1"/>
  <c r="CH41" i="13"/>
  <c r="AA10" i="14" s="1"/>
  <c r="CH44" i="13"/>
  <c r="AA13" i="14" s="1"/>
  <c r="CH42" i="13"/>
  <c r="AA11" i="14" s="1"/>
  <c r="CH43" i="13"/>
  <c r="AA12" i="14" s="1"/>
  <c r="CH46" i="13"/>
  <c r="AA15" i="14" s="1"/>
  <c r="CH50" i="13"/>
  <c r="AA19" i="14" s="1"/>
  <c r="AF48" i="13" l="1"/>
  <c r="B48" i="13" s="1"/>
  <c r="B20" i="13" s="1"/>
  <c r="AM17" i="14"/>
  <c r="AF40" i="13"/>
  <c r="B40" i="13" s="1"/>
  <c r="B12" i="13" s="1"/>
  <c r="AM9" i="14"/>
  <c r="AF45" i="13"/>
  <c r="B45" i="13" s="1"/>
  <c r="B17" i="13" s="1"/>
  <c r="AM14" i="14"/>
  <c r="AF39" i="13"/>
  <c r="B39" i="13" s="1"/>
  <c r="CL39" i="13" a="1"/>
  <c r="AM8" i="14"/>
  <c r="AF49" i="13"/>
  <c r="B49" i="13" s="1"/>
  <c r="B21" i="13" s="1"/>
  <c r="AM18" i="14"/>
  <c r="AF47" i="13"/>
  <c r="B47" i="13" s="1"/>
  <c r="B19" i="13" s="1"/>
  <c r="AM16" i="14"/>
  <c r="AF41" i="13"/>
  <c r="B41" i="13" s="1"/>
  <c r="B13" i="13" s="1"/>
  <c r="AM10" i="14"/>
  <c r="AF44" i="13"/>
  <c r="B44" i="13" s="1"/>
  <c r="B16" i="13" s="1"/>
  <c r="AM13" i="14"/>
  <c r="AF42" i="13"/>
  <c r="B42" i="13" s="1"/>
  <c r="B14" i="13" s="1"/>
  <c r="AM11" i="14"/>
  <c r="AF43" i="13"/>
  <c r="B43" i="13" s="1"/>
  <c r="B15" i="13" s="1"/>
  <c r="G15" i="13" s="1"/>
  <c r="AM12" i="14"/>
  <c r="AF46" i="13"/>
  <c r="B46" i="13" s="1"/>
  <c r="B18" i="13" s="1"/>
  <c r="AM15" i="14"/>
  <c r="AF50" i="13"/>
  <c r="B50" i="13" s="1"/>
  <c r="B22" i="13" s="1"/>
  <c r="AM19" i="14"/>
  <c r="S20" i="13"/>
  <c r="X20" i="13"/>
  <c r="K20" i="13"/>
  <c r="F20" i="13"/>
  <c r="T20" i="13"/>
  <c r="P20" i="13"/>
  <c r="V20" i="13"/>
  <c r="L20" i="13"/>
  <c r="Y20" i="13"/>
  <c r="O20" i="13"/>
  <c r="H20" i="13"/>
  <c r="M20" i="13"/>
  <c r="C20" i="13"/>
  <c r="U20" i="13"/>
  <c r="B51" i="13" l="1"/>
  <c r="Q20" i="13"/>
  <c r="J20" i="13"/>
  <c r="R20" i="13"/>
  <c r="N20" i="13"/>
  <c r="I20" i="13"/>
  <c r="Q12" i="13"/>
  <c r="C12" i="13"/>
  <c r="E12" i="13"/>
  <c r="G12" i="13"/>
  <c r="N12" i="13"/>
  <c r="R12" i="13"/>
  <c r="W12" i="13"/>
  <c r="V12" i="13"/>
  <c r="S12" i="13"/>
  <c r="X12" i="13"/>
  <c r="O12" i="13"/>
  <c r="H12" i="13"/>
  <c r="K12" i="13"/>
  <c r="Y12" i="13"/>
  <c r="E17" i="13"/>
  <c r="J17" i="13"/>
  <c r="W17" i="13"/>
  <c r="L17" i="13"/>
  <c r="X17" i="13"/>
  <c r="D17" i="13"/>
  <c r="U17" i="13"/>
  <c r="D20" i="13"/>
  <c r="P12" i="13"/>
  <c r="T12" i="13"/>
  <c r="I12" i="13"/>
  <c r="D12" i="13"/>
  <c r="J12" i="13"/>
  <c r="U12" i="13"/>
  <c r="L12" i="13"/>
  <c r="Y17" i="13"/>
  <c r="R17" i="13"/>
  <c r="H17" i="13"/>
  <c r="G17" i="13"/>
  <c r="M17" i="13"/>
  <c r="O17" i="13"/>
  <c r="N17" i="13"/>
  <c r="V17" i="13"/>
  <c r="P17" i="13"/>
  <c r="I17" i="13"/>
  <c r="K21" i="13"/>
  <c r="X21" i="13"/>
  <c r="C21" i="13"/>
  <c r="U21" i="13"/>
  <c r="Q21" i="13"/>
  <c r="L21" i="13"/>
  <c r="W21" i="13"/>
  <c r="V21" i="13"/>
  <c r="J21" i="13"/>
  <c r="R21" i="13"/>
  <c r="O21" i="13"/>
  <c r="F21" i="13"/>
  <c r="H21" i="13"/>
  <c r="I21" i="13"/>
  <c r="M21" i="13"/>
  <c r="N21" i="13"/>
  <c r="P21" i="13"/>
  <c r="D21" i="13"/>
  <c r="T21" i="13"/>
  <c r="Y21" i="13"/>
  <c r="G21" i="13"/>
  <c r="E21" i="13"/>
  <c r="S21" i="13"/>
  <c r="I16" i="13"/>
  <c r="O16" i="13"/>
  <c r="L16" i="13"/>
  <c r="U16" i="13"/>
  <c r="F16" i="13"/>
  <c r="H19" i="13"/>
  <c r="U19" i="13"/>
  <c r="F19" i="13"/>
  <c r="M19" i="13"/>
  <c r="R19" i="13"/>
  <c r="X19" i="13"/>
  <c r="C19" i="13"/>
  <c r="G19" i="13"/>
  <c r="E19" i="13"/>
  <c r="I19" i="13"/>
  <c r="Q19" i="13"/>
  <c r="J19" i="13"/>
  <c r="D19" i="13"/>
  <c r="K19" i="13"/>
  <c r="Y19" i="13"/>
  <c r="P19" i="13"/>
  <c r="L19" i="13"/>
  <c r="W19" i="13"/>
  <c r="T19" i="13"/>
  <c r="S19" i="13"/>
  <c r="N19" i="13"/>
  <c r="V19" i="13"/>
  <c r="K13" i="13"/>
  <c r="E13" i="13"/>
  <c r="H13" i="13"/>
  <c r="N13" i="13"/>
  <c r="P13" i="13"/>
  <c r="S13" i="13"/>
  <c r="U13" i="13"/>
  <c r="Q13" i="13"/>
  <c r="O13" i="13"/>
  <c r="L13" i="13"/>
  <c r="H16" i="13"/>
  <c r="X16" i="13"/>
  <c r="C16" i="13"/>
  <c r="T13" i="13"/>
  <c r="M16" i="13"/>
  <c r="C17" i="13"/>
  <c r="F17" i="13"/>
  <c r="K17" i="13"/>
  <c r="Y16" i="13"/>
  <c r="J14" i="13"/>
  <c r="Y14" i="13"/>
  <c r="U14" i="13"/>
  <c r="G14" i="13"/>
  <c r="S14" i="13"/>
  <c r="N14" i="13"/>
  <c r="H14" i="13"/>
  <c r="M14" i="13"/>
  <c r="L14" i="13"/>
  <c r="C14" i="13"/>
  <c r="T14" i="13"/>
  <c r="R14" i="13"/>
  <c r="X14" i="13"/>
  <c r="V14" i="13"/>
  <c r="D14" i="13"/>
  <c r="Q14" i="13"/>
  <c r="Y15" i="13"/>
  <c r="Q15" i="13"/>
  <c r="N15" i="13"/>
  <c r="X15" i="13"/>
  <c r="T15" i="13"/>
  <c r="W15" i="13"/>
  <c r="D15" i="13"/>
  <c r="M15" i="13"/>
  <c r="F18" i="13"/>
  <c r="U18" i="13"/>
  <c r="E18" i="13"/>
  <c r="I18" i="13"/>
  <c r="P18" i="13"/>
  <c r="G18" i="13"/>
  <c r="W18" i="13"/>
  <c r="G20" i="13"/>
  <c r="E20" i="13"/>
  <c r="W20" i="13"/>
  <c r="M12" i="13"/>
  <c r="F12" i="13"/>
  <c r="T17" i="13"/>
  <c r="S17" i="13"/>
  <c r="Q17" i="13"/>
  <c r="B11" i="13"/>
  <c r="O19" i="13"/>
  <c r="F13" i="13"/>
  <c r="R13" i="13"/>
  <c r="W13" i="13"/>
  <c r="X13" i="13"/>
  <c r="J13" i="13"/>
  <c r="Y13" i="13"/>
  <c r="D13" i="13"/>
  <c r="V13" i="13"/>
  <c r="I13" i="13"/>
  <c r="G13" i="13"/>
  <c r="C13" i="13"/>
  <c r="M13" i="13"/>
  <c r="D16" i="13"/>
  <c r="J16" i="13"/>
  <c r="G16" i="13"/>
  <c r="P16" i="13"/>
  <c r="R16" i="13"/>
  <c r="V16" i="13"/>
  <c r="E16" i="13"/>
  <c r="S16" i="13"/>
  <c r="W16" i="13"/>
  <c r="K16" i="13"/>
  <c r="N16" i="13"/>
  <c r="T16" i="13"/>
  <c r="Q16" i="13"/>
  <c r="O14" i="13"/>
  <c r="E14" i="13"/>
  <c r="F14" i="13"/>
  <c r="K14" i="13"/>
  <c r="I14" i="13"/>
  <c r="P14" i="13"/>
  <c r="W14" i="13"/>
  <c r="C15" i="13"/>
  <c r="U15" i="13"/>
  <c r="H15" i="13"/>
  <c r="F15" i="13"/>
  <c r="L15" i="13"/>
  <c r="V15" i="13"/>
  <c r="K15" i="13"/>
  <c r="J15" i="13"/>
  <c r="E15" i="13"/>
  <c r="S15" i="13"/>
  <c r="P15" i="13"/>
  <c r="O15" i="13"/>
  <c r="R15" i="13"/>
  <c r="I15" i="13"/>
  <c r="N18" i="13"/>
  <c r="R18" i="13"/>
  <c r="L18" i="13"/>
  <c r="O18" i="13"/>
  <c r="D18" i="13"/>
  <c r="H18" i="13"/>
  <c r="T18" i="13"/>
  <c r="V18" i="13"/>
  <c r="Q18" i="13"/>
  <c r="K18" i="13"/>
  <c r="J18" i="13"/>
  <c r="C18" i="13"/>
  <c r="X18" i="13"/>
  <c r="M18" i="13"/>
  <c r="S18" i="13"/>
  <c r="Y18" i="13"/>
  <c r="V22" i="13"/>
  <c r="Y22" i="13"/>
  <c r="Q22" i="13"/>
  <c r="S22" i="13"/>
  <c r="U22" i="13"/>
  <c r="O22" i="13"/>
  <c r="R22" i="13"/>
  <c r="T22" i="13"/>
  <c r="C22" i="13"/>
  <c r="L22" i="13"/>
  <c r="W22" i="13"/>
  <c r="M22" i="13"/>
  <c r="H22" i="13"/>
  <c r="J22" i="13"/>
  <c r="X22" i="13"/>
  <c r="E22" i="13"/>
  <c r="F22" i="13"/>
  <c r="G22" i="13"/>
  <c r="N22" i="13"/>
  <c r="K22" i="13"/>
  <c r="D22" i="13"/>
  <c r="P22" i="13"/>
  <c r="I22" i="13"/>
  <c r="CL50" i="13"/>
  <c r="Y19" i="14" s="1"/>
  <c r="CL49" i="13"/>
  <c r="Y18" i="14" s="1"/>
  <c r="CL48" i="13"/>
  <c r="Y17" i="14" s="1"/>
  <c r="CL47" i="13"/>
  <c r="Y16" i="14" s="1"/>
  <c r="U16" i="14" s="1"/>
  <c r="CL46" i="13"/>
  <c r="Y15" i="14" s="1"/>
  <c r="U15" i="14" s="1"/>
  <c r="U34" i="14" s="1"/>
  <c r="CL45" i="13"/>
  <c r="Y14" i="14" s="1"/>
  <c r="U14" i="14" s="1"/>
  <c r="CL44" i="13"/>
  <c r="Y13" i="14" s="1"/>
  <c r="U13" i="14" s="1"/>
  <c r="CL43" i="13"/>
  <c r="Y12" i="14" s="1"/>
  <c r="CL42" i="13"/>
  <c r="Y11" i="14" s="1"/>
  <c r="CL41" i="13"/>
  <c r="Y10" i="14" s="1"/>
  <c r="CL40" i="13"/>
  <c r="Y9" i="14" s="1"/>
  <c r="CL39" i="13"/>
  <c r="Y8" i="14" s="1"/>
  <c r="Y20" i="14" s="1"/>
  <c r="AA20" i="14"/>
  <c r="AM20" i="14" s="1"/>
  <c r="U32" i="14" l="1"/>
  <c r="I11" i="9"/>
  <c r="H11" i="14"/>
  <c r="H43" i="14" s="1"/>
  <c r="U11" i="13"/>
  <c r="U24" i="13" s="1"/>
  <c r="I11" i="13"/>
  <c r="I24" i="13" s="1"/>
  <c r="C11" i="13"/>
  <c r="C24" i="13" s="1"/>
  <c r="R11" i="13"/>
  <c r="R24" i="13" s="1"/>
  <c r="F11" i="13"/>
  <c r="F24" i="13" s="1"/>
  <c r="L11" i="13"/>
  <c r="L24" i="13" s="1"/>
  <c r="V11" i="13"/>
  <c r="V24" i="13" s="1"/>
  <c r="S11" i="13"/>
  <c r="S24" i="13" s="1"/>
  <c r="O11" i="13"/>
  <c r="M11" i="13"/>
  <c r="M24" i="13" s="1"/>
  <c r="D11" i="13"/>
  <c r="D24" i="13" s="1"/>
  <c r="B24" i="13"/>
  <c r="G11" i="13"/>
  <c r="G24" i="13" s="1"/>
  <c r="J11" i="13"/>
  <c r="J24" i="13" s="1"/>
  <c r="Y11" i="13"/>
  <c r="Y24" i="13" s="1"/>
  <c r="K7" i="14" s="1"/>
  <c r="T11" i="13"/>
  <c r="T24" i="13" s="1"/>
  <c r="H11" i="13"/>
  <c r="H24" i="13" s="1"/>
  <c r="Q11" i="13"/>
  <c r="Q24" i="13" s="1"/>
  <c r="X11" i="13"/>
  <c r="E11" i="13"/>
  <c r="E24" i="13" s="1"/>
  <c r="K11" i="13"/>
  <c r="K24" i="13" s="1"/>
  <c r="P11" i="13"/>
  <c r="P24" i="13" s="1"/>
  <c r="N11" i="13"/>
  <c r="N24" i="13" s="1"/>
  <c r="W11" i="13"/>
  <c r="W24" i="13" s="1"/>
  <c r="W53" i="13" s="1"/>
  <c r="AK10" i="14"/>
  <c r="AK11" i="14"/>
  <c r="AK12" i="14"/>
  <c r="AK8" i="14"/>
  <c r="AK9" i="14"/>
  <c r="AK13" i="14"/>
  <c r="AK14" i="14"/>
  <c r="AK15" i="14"/>
  <c r="AK16" i="14"/>
  <c r="AK17" i="14"/>
  <c r="AK18" i="14"/>
  <c r="AK19" i="14"/>
  <c r="Z11" i="14"/>
  <c r="AL11" i="14" s="1"/>
  <c r="Z10" i="14"/>
  <c r="AL10" i="14" s="1"/>
  <c r="U10" i="14"/>
  <c r="U9" i="14"/>
  <c r="U11" i="14"/>
  <c r="U8" i="14"/>
  <c r="Z8" i="14"/>
  <c r="Z9" i="14"/>
  <c r="AL9" i="14" s="1"/>
  <c r="U12" i="14"/>
  <c r="Z12" i="14"/>
  <c r="AL12" i="14" s="1"/>
  <c r="Z13" i="14"/>
  <c r="AL13" i="14" s="1"/>
  <c r="AG13" i="14"/>
  <c r="U19" i="14"/>
  <c r="Z14" i="14"/>
  <c r="AL14" i="14" s="1"/>
  <c r="Z15" i="14"/>
  <c r="AL15" i="14" s="1"/>
  <c r="AG15" i="14"/>
  <c r="Z18" i="14"/>
  <c r="AL18" i="14" s="1"/>
  <c r="Z16" i="14"/>
  <c r="AL16" i="14" s="1"/>
  <c r="U17" i="14"/>
  <c r="Z17" i="14"/>
  <c r="AL17" i="14" s="1"/>
  <c r="U18" i="14"/>
  <c r="Z19" i="14"/>
  <c r="AL19" i="14" s="1"/>
  <c r="U20" i="14" l="1"/>
  <c r="D23" i="14" s="1"/>
  <c r="U68" i="13"/>
  <c r="U59" i="13"/>
  <c r="U49" i="13"/>
  <c r="U27" i="14"/>
  <c r="K11" i="9"/>
  <c r="H18" i="9"/>
  <c r="I51" i="9"/>
  <c r="AG10" i="14"/>
  <c r="U29" i="14"/>
  <c r="AG9" i="14"/>
  <c r="U28" i="14"/>
  <c r="AG11" i="14"/>
  <c r="U30" i="14"/>
  <c r="AG12" i="14"/>
  <c r="U31" i="14"/>
  <c r="AG19" i="14"/>
  <c r="U38" i="14"/>
  <c r="AG14" i="14"/>
  <c r="U33" i="14"/>
  <c r="AG16" i="14"/>
  <c r="U35" i="14"/>
  <c r="AG17" i="14"/>
  <c r="U36" i="14"/>
  <c r="AG18" i="14"/>
  <c r="U37" i="14"/>
  <c r="U43" i="13"/>
  <c r="M66" i="13"/>
  <c r="AG8" i="14"/>
  <c r="M47" i="13"/>
  <c r="M54" i="13"/>
  <c r="M68" i="13"/>
  <c r="M62" i="13"/>
  <c r="M58" i="13"/>
  <c r="M49" i="13"/>
  <c r="X24" i="13"/>
  <c r="M42" i="13"/>
  <c r="M51" i="13"/>
  <c r="M61" i="13"/>
  <c r="M69" i="13"/>
  <c r="M63" i="13"/>
  <c r="M57" i="13"/>
  <c r="M65" i="13"/>
  <c r="M67" i="13"/>
  <c r="M45" i="13"/>
  <c r="M44" i="13"/>
  <c r="M64" i="13"/>
  <c r="L39" i="13"/>
  <c r="L69" i="13"/>
  <c r="L42" i="13"/>
  <c r="L47" i="13"/>
  <c r="V55" i="13"/>
  <c r="V43" i="13"/>
  <c r="V47" i="13"/>
  <c r="V69" i="13"/>
  <c r="V57" i="13"/>
  <c r="V68" i="13"/>
  <c r="V48" i="13"/>
  <c r="V65" i="13"/>
  <c r="V66" i="13"/>
  <c r="V40" i="13"/>
  <c r="V67" i="13"/>
  <c r="V64" i="13"/>
  <c r="V41" i="13"/>
  <c r="V44" i="13"/>
  <c r="V58" i="13"/>
  <c r="O24" i="13"/>
  <c r="U47" i="13"/>
  <c r="U65" i="13"/>
  <c r="U45" i="13"/>
  <c r="U61" i="13"/>
  <c r="U40" i="13"/>
  <c r="U57" i="13"/>
  <c r="U41" i="13"/>
  <c r="U60" i="13"/>
  <c r="U42" i="13"/>
  <c r="U66" i="13"/>
  <c r="U50" i="13"/>
  <c r="U51" i="13"/>
  <c r="U64" i="13"/>
  <c r="U67" i="13"/>
  <c r="U62" i="13"/>
  <c r="U56" i="13"/>
  <c r="U39" i="13"/>
  <c r="U48" i="13"/>
  <c r="U44" i="13"/>
  <c r="U63" i="13"/>
  <c r="U55" i="13"/>
  <c r="U69" i="13"/>
  <c r="U54" i="13"/>
  <c r="U53" i="13"/>
  <c r="U58" i="13"/>
  <c r="U46" i="13"/>
  <c r="I54" i="13"/>
  <c r="J11" i="14"/>
  <c r="J43" i="14" s="1"/>
  <c r="E11" i="14"/>
  <c r="R65" i="13"/>
  <c r="R67" i="13"/>
  <c r="R49" i="13"/>
  <c r="R43" i="13"/>
  <c r="R68" i="13"/>
  <c r="R59" i="13"/>
  <c r="R47" i="13"/>
  <c r="R42" i="13"/>
  <c r="R40" i="13"/>
  <c r="R63" i="13"/>
  <c r="R54" i="13"/>
  <c r="R64" i="13"/>
  <c r="R69" i="13"/>
  <c r="R41" i="13"/>
  <c r="R51" i="13"/>
  <c r="R50" i="13"/>
  <c r="R39" i="13"/>
  <c r="R58" i="13"/>
  <c r="R55" i="13"/>
  <c r="R61" i="13"/>
  <c r="R62" i="13"/>
  <c r="L50" i="13"/>
  <c r="L49" i="13"/>
  <c r="L58" i="13"/>
  <c r="L44" i="13"/>
  <c r="L45" i="13"/>
  <c r="L66" i="13"/>
  <c r="R44" i="13"/>
  <c r="R60" i="13"/>
  <c r="R45" i="13"/>
  <c r="R66" i="13"/>
  <c r="R57" i="13"/>
  <c r="R53" i="13"/>
  <c r="R46" i="13"/>
  <c r="R56" i="13"/>
  <c r="R48" i="13"/>
  <c r="L60" i="13"/>
  <c r="L62" i="13"/>
  <c r="L67" i="13"/>
  <c r="L43" i="13"/>
  <c r="L48" i="13"/>
  <c r="L54" i="13"/>
  <c r="L64" i="13"/>
  <c r="L61" i="13"/>
  <c r="L40" i="13"/>
  <c r="L41" i="13"/>
  <c r="L53" i="13"/>
  <c r="L56" i="13"/>
  <c r="L46" i="13"/>
  <c r="L63" i="13"/>
  <c r="V62" i="13"/>
  <c r="V60" i="13"/>
  <c r="V54" i="13"/>
  <c r="V63" i="13"/>
  <c r="V39" i="13"/>
  <c r="S48" i="13"/>
  <c r="S64" i="13"/>
  <c r="H12" i="14" s="1"/>
  <c r="H44" i="14" s="1"/>
  <c r="S61" i="13"/>
  <c r="S57" i="13"/>
  <c r="H9" i="14" s="1"/>
  <c r="H41" i="14" s="1"/>
  <c r="S46" i="13"/>
  <c r="S67" i="13"/>
  <c r="S47" i="13"/>
  <c r="S63" i="13"/>
  <c r="S58" i="13"/>
  <c r="S44" i="13"/>
  <c r="S68" i="13"/>
  <c r="M46" i="13"/>
  <c r="M39" i="13"/>
  <c r="M41" i="13"/>
  <c r="M50" i="13"/>
  <c r="M60" i="13"/>
  <c r="M43" i="13"/>
  <c r="M59" i="13"/>
  <c r="M40" i="13"/>
  <c r="M56" i="13"/>
  <c r="M55" i="13"/>
  <c r="M53" i="13"/>
  <c r="M48" i="13"/>
  <c r="P61" i="13"/>
  <c r="P69" i="13"/>
  <c r="P44" i="13"/>
  <c r="P39" i="13"/>
  <c r="P46" i="13"/>
  <c r="P43" i="13"/>
  <c r="P67" i="13"/>
  <c r="P68" i="13"/>
  <c r="P56" i="13"/>
  <c r="P41" i="13"/>
  <c r="P42" i="13"/>
  <c r="P53" i="13"/>
  <c r="P64" i="13"/>
  <c r="P54" i="13"/>
  <c r="P66" i="13"/>
  <c r="P55" i="13"/>
  <c r="P62" i="13"/>
  <c r="P58" i="13"/>
  <c r="P65" i="13"/>
  <c r="P45" i="13"/>
  <c r="P57" i="13"/>
  <c r="T57" i="13"/>
  <c r="T47" i="13"/>
  <c r="T51" i="13"/>
  <c r="T63" i="13"/>
  <c r="T49" i="13"/>
  <c r="T56" i="13"/>
  <c r="T64" i="13"/>
  <c r="T66" i="13"/>
  <c r="T54" i="13"/>
  <c r="N59" i="13"/>
  <c r="N46" i="13"/>
  <c r="P63" i="13"/>
  <c r="P60" i="13"/>
  <c r="P51" i="13"/>
  <c r="P50" i="13"/>
  <c r="P47" i="13"/>
  <c r="P48" i="13"/>
  <c r="T53" i="13"/>
  <c r="T43" i="13"/>
  <c r="T44" i="13"/>
  <c r="T55" i="13"/>
  <c r="T67" i="13"/>
  <c r="T50" i="13"/>
  <c r="T69" i="13"/>
  <c r="T65" i="13"/>
  <c r="T59" i="13"/>
  <c r="T40" i="13"/>
  <c r="T45" i="13"/>
  <c r="T68" i="13"/>
  <c r="T42" i="13"/>
  <c r="T58" i="13"/>
  <c r="T46" i="13"/>
  <c r="N49" i="13"/>
  <c r="N51" i="13"/>
  <c r="N56" i="13"/>
  <c r="N54" i="13"/>
  <c r="N50" i="13"/>
  <c r="N63" i="13"/>
  <c r="L65" i="13"/>
  <c r="L55" i="13"/>
  <c r="L57" i="13"/>
  <c r="L51" i="13"/>
  <c r="L59" i="13"/>
  <c r="L68" i="13"/>
  <c r="V45" i="13"/>
  <c r="V53" i="13"/>
  <c r="V49" i="13"/>
  <c r="V50" i="13"/>
  <c r="V61" i="13"/>
  <c r="V46" i="13"/>
  <c r="V59" i="13"/>
  <c r="V42" i="13"/>
  <c r="V51" i="13"/>
  <c r="V56" i="13"/>
  <c r="S43" i="13"/>
  <c r="S42" i="13"/>
  <c r="S60" i="13"/>
  <c r="S45" i="13"/>
  <c r="S66" i="13"/>
  <c r="S59" i="13"/>
  <c r="S40" i="13"/>
  <c r="S51" i="13"/>
  <c r="S53" i="13"/>
  <c r="S54" i="13"/>
  <c r="G7" i="14" s="1"/>
  <c r="S39" i="13"/>
  <c r="S55" i="13"/>
  <c r="S62" i="13"/>
  <c r="S50" i="13"/>
  <c r="S65" i="13"/>
  <c r="S49" i="13"/>
  <c r="S41" i="13"/>
  <c r="S56" i="13"/>
  <c r="H8" i="14" s="1"/>
  <c r="H40" i="14" s="1"/>
  <c r="S69" i="13"/>
  <c r="P40" i="13"/>
  <c r="P49" i="13"/>
  <c r="P59" i="13"/>
  <c r="K39" i="14"/>
  <c r="T62" i="13"/>
  <c r="T60" i="13"/>
  <c r="T48" i="13"/>
  <c r="T39" i="13"/>
  <c r="T61" i="13"/>
  <c r="T41" i="13"/>
  <c r="N41" i="13"/>
  <c r="N42" i="13"/>
  <c r="N64" i="13"/>
  <c r="N48" i="13"/>
  <c r="N58" i="13"/>
  <c r="N55" i="13"/>
  <c r="N44" i="13"/>
  <c r="N57" i="13"/>
  <c r="N68" i="13"/>
  <c r="N39" i="13"/>
  <c r="N61" i="13"/>
  <c r="N69" i="13"/>
  <c r="N45" i="13"/>
  <c r="N67" i="13"/>
  <c r="N65" i="13"/>
  <c r="N66" i="13"/>
  <c r="N47" i="13"/>
  <c r="N53" i="13"/>
  <c r="N60" i="13"/>
  <c r="N40" i="13"/>
  <c r="N43" i="13"/>
  <c r="N62" i="13"/>
  <c r="Q59" i="13"/>
  <c r="Q56" i="13"/>
  <c r="Q69" i="13"/>
  <c r="Q61" i="13"/>
  <c r="Q44" i="13"/>
  <c r="Q51" i="13"/>
  <c r="Q45" i="13"/>
  <c r="Q67" i="13"/>
  <c r="Q48" i="13"/>
  <c r="Q43" i="13"/>
  <c r="Q47" i="13"/>
  <c r="Q66" i="13"/>
  <c r="Q40" i="13"/>
  <c r="Q57" i="13"/>
  <c r="Q49" i="13"/>
  <c r="Q60" i="13"/>
  <c r="Q42" i="13"/>
  <c r="Q58" i="13"/>
  <c r="Q55" i="13"/>
  <c r="Q50" i="13"/>
  <c r="Q39" i="13"/>
  <c r="Q62" i="13"/>
  <c r="K69" i="13"/>
  <c r="K64" i="13"/>
  <c r="K63" i="13"/>
  <c r="K49" i="13"/>
  <c r="K62" i="13"/>
  <c r="K45" i="13"/>
  <c r="Q65" i="13"/>
  <c r="Q46" i="13"/>
  <c r="Q53" i="13"/>
  <c r="Q64" i="13"/>
  <c r="Q63" i="13"/>
  <c r="Q68" i="13"/>
  <c r="Q41" i="13"/>
  <c r="Q54" i="13"/>
  <c r="K42" i="13"/>
  <c r="K68" i="13"/>
  <c r="K44" i="13"/>
  <c r="K39" i="13"/>
  <c r="K66" i="13"/>
  <c r="K59" i="13"/>
  <c r="K50" i="13"/>
  <c r="K43" i="13"/>
  <c r="K48" i="13"/>
  <c r="K41" i="13"/>
  <c r="K58" i="13"/>
  <c r="K65" i="13"/>
  <c r="K54" i="13"/>
  <c r="K67" i="13"/>
  <c r="K61" i="13"/>
  <c r="K51" i="13"/>
  <c r="K57" i="13"/>
  <c r="K60" i="13"/>
  <c r="K40" i="13"/>
  <c r="K46" i="13"/>
  <c r="K47" i="13"/>
  <c r="K56" i="13"/>
  <c r="K55" i="13"/>
  <c r="K53" i="13"/>
  <c r="AK20" i="14"/>
  <c r="AL8" i="14"/>
  <c r="Z20" i="14"/>
  <c r="O25" i="14" s="1"/>
  <c r="K51" i="9" l="1"/>
  <c r="J18" i="9"/>
  <c r="J29" i="9" s="1"/>
  <c r="J34" i="9" s="1"/>
  <c r="J39" i="9" s="1"/>
  <c r="N11" i="9"/>
  <c r="H29" i="9"/>
  <c r="I84" i="9"/>
  <c r="H11" i="12" s="1"/>
  <c r="H68" i="9"/>
  <c r="U39" i="14"/>
  <c r="O62" i="13"/>
  <c r="O54" i="13"/>
  <c r="M11" i="14"/>
  <c r="E43" i="14"/>
  <c r="O69" i="13"/>
  <c r="O50" i="13"/>
  <c r="W50" i="13" s="1"/>
  <c r="O49" i="13"/>
  <c r="O66" i="13"/>
  <c r="O47" i="13"/>
  <c r="O41" i="13"/>
  <c r="O56" i="13"/>
  <c r="W56" i="13" s="1"/>
  <c r="J8" i="14" s="1"/>
  <c r="J40" i="14" s="1"/>
  <c r="O61" i="13"/>
  <c r="O55" i="13"/>
  <c r="O57" i="13"/>
  <c r="O63" i="13"/>
  <c r="O43" i="13"/>
  <c r="O53" i="13"/>
  <c r="O65" i="13"/>
  <c r="O51" i="13"/>
  <c r="O46" i="13"/>
  <c r="O39" i="13"/>
  <c r="W39" i="13" s="1"/>
  <c r="O64" i="13"/>
  <c r="O67" i="13"/>
  <c r="O48" i="13"/>
  <c r="O44" i="13"/>
  <c r="W44" i="13" s="1"/>
  <c r="O45" i="13"/>
  <c r="O40" i="13"/>
  <c r="O58" i="13"/>
  <c r="O68" i="13"/>
  <c r="O42" i="13"/>
  <c r="W42" i="13" s="1"/>
  <c r="O60" i="13"/>
  <c r="O59" i="13"/>
  <c r="G39" i="14"/>
  <c r="AG20" i="14"/>
  <c r="CK39" i="13" a="1"/>
  <c r="AL20" i="14"/>
  <c r="J68" i="9" l="1"/>
  <c r="N68" i="9" s="1"/>
  <c r="P47" i="9"/>
  <c r="N51" i="9"/>
  <c r="K84" i="9"/>
  <c r="J101" i="9" s="1"/>
  <c r="N18" i="9"/>
  <c r="H101" i="9"/>
  <c r="H34" i="9"/>
  <c r="N29" i="9"/>
  <c r="W68" i="13"/>
  <c r="X68" i="13" s="1"/>
  <c r="W55" i="13"/>
  <c r="X55" i="13" s="1"/>
  <c r="W63" i="13"/>
  <c r="X63" i="13" s="1"/>
  <c r="W57" i="13"/>
  <c r="C8" i="14"/>
  <c r="W43" i="13"/>
  <c r="W48" i="13"/>
  <c r="W41" i="13"/>
  <c r="W40" i="13"/>
  <c r="W46" i="13"/>
  <c r="W47" i="13"/>
  <c r="W49" i="13"/>
  <c r="W45" i="13"/>
  <c r="W66" i="13"/>
  <c r="X66" i="13" s="1"/>
  <c r="W59" i="13"/>
  <c r="X59" i="13" s="1"/>
  <c r="W58" i="13"/>
  <c r="X58" i="13" s="1"/>
  <c r="W65" i="13"/>
  <c r="X65" i="13" s="1"/>
  <c r="W67" i="13"/>
  <c r="X67" i="13" s="1"/>
  <c r="W69" i="13"/>
  <c r="X69" i="13" s="1"/>
  <c r="W62" i="13"/>
  <c r="X62" i="13" s="1"/>
  <c r="W54" i="13"/>
  <c r="X54" i="13" s="1"/>
  <c r="I7" i="14" s="1"/>
  <c r="W64" i="13"/>
  <c r="J12" i="14" s="1"/>
  <c r="J44" i="14" s="1"/>
  <c r="X56" i="13"/>
  <c r="W61" i="13"/>
  <c r="X61" i="13" s="1"/>
  <c r="W51" i="13"/>
  <c r="W60" i="13"/>
  <c r="X60" i="13" s="1"/>
  <c r="CK50" i="13"/>
  <c r="AB19" i="14" s="1"/>
  <c r="CK45" i="13"/>
  <c r="AB14" i="14" s="1"/>
  <c r="CK47" i="13"/>
  <c r="AB16" i="14" s="1"/>
  <c r="CK41" i="13"/>
  <c r="AB10" i="14" s="1"/>
  <c r="CK40" i="13"/>
  <c r="AB9" i="14" s="1"/>
  <c r="CK43" i="13"/>
  <c r="AB12" i="14" s="1"/>
  <c r="CK39" i="13"/>
  <c r="AB8" i="14" s="1"/>
  <c r="CK49" i="13"/>
  <c r="AB18" i="14" s="1"/>
  <c r="CK46" i="13"/>
  <c r="AB15" i="14" s="1"/>
  <c r="CK42" i="13"/>
  <c r="AB11" i="14" s="1"/>
  <c r="CK48" i="13"/>
  <c r="AB17" i="14" s="1"/>
  <c r="CK44" i="13"/>
  <c r="AB13" i="14" s="1"/>
  <c r="M7" i="14" l="1"/>
  <c r="J11" i="12"/>
  <c r="J47" i="12" s="1"/>
  <c r="N84" i="9"/>
  <c r="P80" i="9"/>
  <c r="H184" i="9"/>
  <c r="I184" i="9"/>
  <c r="K184" i="9"/>
  <c r="J184" i="9"/>
  <c r="H103" i="9"/>
  <c r="H39" i="9"/>
  <c r="N39" i="9" s="1"/>
  <c r="N34" i="9"/>
  <c r="X57" i="13"/>
  <c r="C40" i="14"/>
  <c r="E12" i="14"/>
  <c r="E44" i="14" s="1"/>
  <c r="X64" i="13"/>
  <c r="C9" i="14"/>
  <c r="J9" i="14"/>
  <c r="M8" i="14"/>
  <c r="I39" i="14"/>
  <c r="M39" i="14"/>
  <c r="N7" i="14"/>
  <c r="AB38" i="14"/>
  <c r="AB33" i="14"/>
  <c r="AB35" i="14"/>
  <c r="AB29" i="14"/>
  <c r="AB28" i="14"/>
  <c r="AB31" i="14"/>
  <c r="AB27" i="14"/>
  <c r="AB37" i="14"/>
  <c r="AB34" i="14"/>
  <c r="AB30" i="14"/>
  <c r="AB36" i="14"/>
  <c r="AB32" i="14"/>
  <c r="N101" i="9"/>
  <c r="J103" i="9"/>
  <c r="N184" i="9" l="1"/>
  <c r="J41" i="14"/>
  <c r="I28" i="14"/>
  <c r="H198" i="9"/>
  <c r="H195" i="9"/>
  <c r="H196" i="9"/>
  <c r="H197" i="9"/>
  <c r="H199" i="9"/>
  <c r="H200" i="9"/>
  <c r="H192" i="9"/>
  <c r="H193" i="9"/>
  <c r="H194" i="9"/>
  <c r="I193" i="9"/>
  <c r="I192" i="9"/>
  <c r="I196" i="9"/>
  <c r="I198" i="9"/>
  <c r="I199" i="9"/>
  <c r="I195" i="9"/>
  <c r="I200" i="9"/>
  <c r="I194" i="9"/>
  <c r="K192" i="9"/>
  <c r="K197" i="9"/>
  <c r="K196" i="9"/>
  <c r="K198" i="9"/>
  <c r="K195" i="9"/>
  <c r="K194" i="9"/>
  <c r="K193" i="9"/>
  <c r="K199" i="9"/>
  <c r="K200" i="9"/>
  <c r="J192" i="9"/>
  <c r="J195" i="9"/>
  <c r="J199" i="9"/>
  <c r="J194" i="9"/>
  <c r="J193" i="9"/>
  <c r="J196" i="9"/>
  <c r="J198" i="9"/>
  <c r="J197" i="9"/>
  <c r="J200" i="9"/>
  <c r="H51" i="12"/>
  <c r="H47" i="12"/>
  <c r="G28" i="12"/>
  <c r="C41" i="14"/>
  <c r="M9" i="14"/>
  <c r="M12" i="14"/>
  <c r="O7" i="14"/>
  <c r="O39" i="14" s="1"/>
  <c r="N39" i="14"/>
  <c r="P7" i="14"/>
  <c r="P39" i="14" s="1"/>
  <c r="I28" i="12"/>
  <c r="J51" i="12"/>
  <c r="O7" i="12"/>
  <c r="N195" i="9" l="1"/>
  <c r="N197" i="9"/>
  <c r="N199" i="9"/>
  <c r="N200" i="9"/>
  <c r="N193" i="9"/>
  <c r="N198" i="9"/>
  <c r="N192" i="9"/>
  <c r="N196" i="9"/>
  <c r="N194" i="9"/>
  <c r="H50" i="14"/>
  <c r="D50" i="14"/>
  <c r="E18" i="14"/>
  <c r="J50" i="14"/>
  <c r="G28" i="14" l="1"/>
  <c r="H46" i="14"/>
  <c r="E50" i="14"/>
  <c r="M18" i="14"/>
  <c r="E28" i="14"/>
  <c r="P4" i="14" s="1"/>
  <c r="J46" i="14"/>
  <c r="K46" i="14"/>
  <c r="H31" i="14" l="1"/>
  <c r="G60" i="14"/>
  <c r="E60" i="14"/>
  <c r="F31" i="14"/>
  <c r="I60" i="14"/>
  <c r="J31" i="14"/>
  <c r="D25" i="14" l="1"/>
  <c r="C46" i="14"/>
  <c r="M14" i="14"/>
  <c r="M25" i="14" l="1"/>
  <c r="M57" i="14" s="1"/>
  <c r="C28" i="14"/>
  <c r="K28" i="14" s="1"/>
  <c r="M28" i="14" s="1"/>
  <c r="D57" i="14"/>
  <c r="D55" i="14"/>
  <c r="O23" i="14"/>
  <c r="O55" i="14" s="1"/>
  <c r="M23" i="14"/>
  <c r="M55" i="14" s="1"/>
  <c r="Z27" i="14"/>
  <c r="AA27" i="14" s="1"/>
  <c r="Z33" i="14" l="1"/>
  <c r="AA33" i="14" s="1"/>
  <c r="AM33" i="14" s="1"/>
  <c r="AG33" i="14"/>
  <c r="Z29" i="14"/>
  <c r="AA29" i="14" s="1"/>
  <c r="AM29" i="14" s="1"/>
  <c r="AG29" i="14"/>
  <c r="Z32" i="14"/>
  <c r="AA32" i="14" s="1"/>
  <c r="AM32" i="14" s="1"/>
  <c r="AG32" i="14"/>
  <c r="Z31" i="14"/>
  <c r="AA31" i="14" s="1"/>
  <c r="AM31" i="14" s="1"/>
  <c r="AG31" i="14"/>
  <c r="Z28" i="14"/>
  <c r="AA28" i="14" s="1"/>
  <c r="AM28" i="14" s="1"/>
  <c r="AG28" i="14"/>
  <c r="Z38" i="14"/>
  <c r="AA38" i="14" s="1"/>
  <c r="AM38" i="14" s="1"/>
  <c r="AG38" i="14"/>
  <c r="Z30" i="14"/>
  <c r="AA30" i="14" s="1"/>
  <c r="AM30" i="14" s="1"/>
  <c r="AG30" i="14"/>
  <c r="Z34" i="14"/>
  <c r="AA34" i="14" s="1"/>
  <c r="AM34" i="14" s="1"/>
  <c r="AG34" i="14"/>
  <c r="Z37" i="14"/>
  <c r="AA37" i="14" s="1"/>
  <c r="AM37" i="14" s="1"/>
  <c r="AG37" i="14"/>
  <c r="Z36" i="14"/>
  <c r="AA36" i="14" s="1"/>
  <c r="AM36" i="14" s="1"/>
  <c r="AG36" i="14"/>
  <c r="Z35" i="14"/>
  <c r="AA35" i="14" s="1"/>
  <c r="AM35" i="14" s="1"/>
  <c r="AG35" i="14"/>
  <c r="AG39" i="14"/>
  <c r="AG27" i="14"/>
  <c r="C60" i="14"/>
  <c r="D31" i="14"/>
  <c r="AM27" i="14" l="1"/>
  <c r="AA39" i="14"/>
  <c r="AM39" i="14" s="1"/>
  <c r="Y33" i="14"/>
  <c r="AK33" i="14" s="1"/>
  <c r="AL33" i="14"/>
  <c r="Y29" i="14"/>
  <c r="AK29" i="14" s="1"/>
  <c r="AL29" i="14"/>
  <c r="Y32" i="14"/>
  <c r="AK32" i="14" s="1"/>
  <c r="AL32" i="14"/>
  <c r="Y31" i="14"/>
  <c r="AK31" i="14" s="1"/>
  <c r="AL31" i="14"/>
  <c r="Y28" i="14"/>
  <c r="AK28" i="14" s="1"/>
  <c r="AL28" i="14"/>
  <c r="Y38" i="14"/>
  <c r="AK38" i="14" s="1"/>
  <c r="AL38" i="14"/>
  <c r="Y30" i="14"/>
  <c r="AK30" i="14" s="1"/>
  <c r="AL30" i="14"/>
  <c r="Y34" i="14"/>
  <c r="AK34" i="14" s="1"/>
  <c r="AL34" i="14"/>
  <c r="Y37" i="14"/>
  <c r="AK37" i="14" s="1"/>
  <c r="AL37" i="14"/>
  <c r="Y36" i="14"/>
  <c r="AK36" i="14" s="1"/>
  <c r="AL36" i="14"/>
  <c r="Y35" i="14"/>
  <c r="AL35" i="14"/>
  <c r="AL27" i="14"/>
  <c r="Z39" i="14"/>
  <c r="Y27" i="14"/>
  <c r="L31" i="14"/>
  <c r="K60" i="14"/>
  <c r="AK35" i="14" l="1"/>
  <c r="Y39" i="14"/>
  <c r="AL39" i="14"/>
  <c r="O26" i="14"/>
  <c r="AK27" i="14"/>
  <c r="AK39" i="14" l="1"/>
  <c r="U8" i="17" l="1"/>
  <c r="Y8" i="17" s="1"/>
  <c r="Z8" i="17" s="1"/>
  <c r="AE39" i="18" s="1"/>
  <c r="U10" i="17"/>
  <c r="U12" i="17"/>
  <c r="U9" i="17"/>
  <c r="U19" i="17"/>
  <c r="U18" i="17"/>
  <c r="U11" i="17"/>
  <c r="U16" i="17"/>
  <c r="U17" i="17"/>
  <c r="U13" i="17"/>
  <c r="U15" i="17"/>
  <c r="AG20" i="17"/>
  <c r="AG13" i="17" l="1"/>
  <c r="AG14" i="17"/>
  <c r="AG11" i="17"/>
  <c r="AG19" i="17"/>
  <c r="AG17" i="17"/>
  <c r="AG15" i="17"/>
  <c r="AG8" i="17"/>
  <c r="AK8" i="17"/>
  <c r="Y9" i="17"/>
  <c r="Y10" i="17"/>
  <c r="AG12" i="17"/>
  <c r="Y11" i="17"/>
  <c r="Y12" i="17"/>
  <c r="Y13" i="17"/>
  <c r="Y14" i="17"/>
  <c r="AG16" i="17"/>
  <c r="AG10" i="17"/>
  <c r="Y15" i="17"/>
  <c r="Y16" i="17"/>
  <c r="AK16" i="17" s="1"/>
  <c r="Y17" i="17"/>
  <c r="Y18" i="17"/>
  <c r="AG9" i="17"/>
  <c r="AG18" i="17"/>
  <c r="Y19" i="17"/>
  <c r="AK18" i="17" l="1"/>
  <c r="Z18" i="17"/>
  <c r="Z16" i="17"/>
  <c r="Z15" i="17"/>
  <c r="Z9" i="17"/>
  <c r="AE40" i="18" s="1"/>
  <c r="AK9" i="17"/>
  <c r="Z10" i="17"/>
  <c r="Y20" i="17"/>
  <c r="AK20" i="17" s="1"/>
  <c r="AK10" i="17"/>
  <c r="AL8" i="17"/>
  <c r="Z12" i="17"/>
  <c r="AK12" i="17"/>
  <c r="AK14" i="17"/>
  <c r="Z14" i="17"/>
  <c r="AK15" i="17"/>
  <c r="Z19" i="17"/>
  <c r="AK11" i="17"/>
  <c r="Z11" i="17"/>
  <c r="Z13" i="17"/>
  <c r="AK13" i="17"/>
  <c r="AK17" i="17"/>
  <c r="AK19" i="17"/>
  <c r="Z17" i="17"/>
  <c r="AE49" i="18" l="1"/>
  <c r="AL16" i="17"/>
  <c r="AL18" i="17"/>
  <c r="AE47" i="18"/>
  <c r="AL15" i="17"/>
  <c r="AE46" i="18"/>
  <c r="AL10" i="17"/>
  <c r="AE41" i="18"/>
  <c r="AL12" i="17"/>
  <c r="AE43" i="18"/>
  <c r="AL14" i="17"/>
  <c r="AE45" i="18"/>
  <c r="AL11" i="17"/>
  <c r="AE42" i="18"/>
  <c r="AL13" i="17"/>
  <c r="AE44" i="18"/>
  <c r="AL17" i="17"/>
  <c r="AE48" i="18"/>
  <c r="AL19" i="17"/>
  <c r="AE50" i="18"/>
  <c r="AL9" i="17"/>
  <c r="Z20" i="17"/>
  <c r="AE51" i="18" s="1"/>
  <c r="AL20" i="17" l="1"/>
  <c r="O25" i="17"/>
  <c r="CH39" i="18" l="1" a="1"/>
  <c r="CH46" i="18" l="1"/>
  <c r="CH45" i="18"/>
  <c r="AF45" i="18" s="1"/>
  <c r="CH43" i="18"/>
  <c r="AF43" i="18" s="1"/>
  <c r="B43" i="18" s="1"/>
  <c r="B15" i="18" s="1"/>
  <c r="CH49" i="18"/>
  <c r="CH50" i="18"/>
  <c r="CH39" i="18"/>
  <c r="CH48" i="18"/>
  <c r="CH42" i="18"/>
  <c r="CH41" i="18"/>
  <c r="AA10" i="17" s="1"/>
  <c r="AM10" i="17" s="1"/>
  <c r="CH47" i="18"/>
  <c r="AA16" i="17" s="1"/>
  <c r="AM16" i="17" s="1"/>
  <c r="CH40" i="18"/>
  <c r="AF40" i="18" s="1"/>
  <c r="B40" i="18" s="1"/>
  <c r="B12" i="18" s="1"/>
  <c r="CH44" i="18"/>
  <c r="CK39" i="18" l="1" a="1"/>
  <c r="AF41" i="18"/>
  <c r="B41" i="18" s="1"/>
  <c r="B13" i="18" s="1"/>
  <c r="AA8" i="17"/>
  <c r="N15" i="18"/>
  <c r="H15" i="18"/>
  <c r="U15" i="18"/>
  <c r="S15" i="18"/>
  <c r="I15" i="18"/>
  <c r="L15" i="18"/>
  <c r="AA9" i="17"/>
  <c r="AM9" i="17" s="1"/>
  <c r="AA12" i="17"/>
  <c r="AM12" i="17" s="1"/>
  <c r="B45" i="18"/>
  <c r="B17" i="18" s="1"/>
  <c r="L17" i="18" s="1"/>
  <c r="P15" i="18"/>
  <c r="Q15" i="18"/>
  <c r="C12" i="18"/>
  <c r="AA14" i="17"/>
  <c r="AM14" i="17" s="1"/>
  <c r="G15" i="18"/>
  <c r="J15" i="18"/>
  <c r="M15" i="18"/>
  <c r="W15" i="18"/>
  <c r="V15" i="18"/>
  <c r="Y15" i="18"/>
  <c r="T15" i="18"/>
  <c r="O15" i="18"/>
  <c r="AF47" i="18"/>
  <c r="B47" i="18" s="1"/>
  <c r="B19" i="18" s="1"/>
  <c r="S12" i="18"/>
  <c r="X12" i="18"/>
  <c r="Y12" i="18"/>
  <c r="H12" i="18"/>
  <c r="W12" i="18"/>
  <c r="D12" i="18"/>
  <c r="E12" i="18"/>
  <c r="AA15" i="17"/>
  <c r="AM15" i="17" s="1"/>
  <c r="AF46" i="18"/>
  <c r="B46" i="18" s="1"/>
  <c r="B18" i="18" s="1"/>
  <c r="D15" i="18"/>
  <c r="R15" i="18"/>
  <c r="E15" i="18"/>
  <c r="K15" i="18"/>
  <c r="F15" i="18"/>
  <c r="X15" i="18"/>
  <c r="C15" i="18"/>
  <c r="AF49" i="18"/>
  <c r="B49" i="18" s="1"/>
  <c r="B21" i="18" s="1"/>
  <c r="AA18" i="17"/>
  <c r="AM18" i="17" s="1"/>
  <c r="AF50" i="18"/>
  <c r="B50" i="18" s="1"/>
  <c r="B22" i="18" s="1"/>
  <c r="AA19" i="17"/>
  <c r="AM19" i="17" s="1"/>
  <c r="AF39" i="18"/>
  <c r="B39" i="18" s="1"/>
  <c r="B11" i="18" s="1"/>
  <c r="CL39" i="18" a="1"/>
  <c r="AA17" i="17"/>
  <c r="AM17" i="17" s="1"/>
  <c r="AF48" i="18"/>
  <c r="B48" i="18" s="1"/>
  <c r="B20" i="18" s="1"/>
  <c r="AF42" i="18"/>
  <c r="B42" i="18" s="1"/>
  <c r="B14" i="18" s="1"/>
  <c r="AA11" i="17"/>
  <c r="AM11" i="17" s="1"/>
  <c r="M12" i="18"/>
  <c r="Q12" i="18"/>
  <c r="O12" i="18"/>
  <c r="N12" i="18"/>
  <c r="K12" i="18"/>
  <c r="P12" i="18"/>
  <c r="F12" i="18"/>
  <c r="T12" i="18"/>
  <c r="L12" i="18"/>
  <c r="U12" i="18"/>
  <c r="V12" i="18"/>
  <c r="R12" i="18"/>
  <c r="G12" i="18"/>
  <c r="I12" i="18"/>
  <c r="J12" i="18"/>
  <c r="AA13" i="17"/>
  <c r="AM13" i="17" s="1"/>
  <c r="AF44" i="18"/>
  <c r="B44" i="18" s="1"/>
  <c r="B16" i="18" s="1"/>
  <c r="CK47" i="18" l="1"/>
  <c r="CK46" i="18"/>
  <c r="CK48" i="18"/>
  <c r="CK50" i="18"/>
  <c r="CK40" i="18"/>
  <c r="CK44" i="18"/>
  <c r="CK42" i="18"/>
  <c r="CK39" i="18"/>
  <c r="CK41" i="18"/>
  <c r="CK45" i="18"/>
  <c r="CK49" i="18"/>
  <c r="CK43" i="18"/>
  <c r="I17" i="18"/>
  <c r="Y17" i="18"/>
  <c r="W17" i="18"/>
  <c r="H13" i="18"/>
  <c r="AM8" i="17"/>
  <c r="T13" i="18"/>
  <c r="M13" i="18"/>
  <c r="I13" i="18"/>
  <c r="L13" i="18"/>
  <c r="R13" i="18"/>
  <c r="V13" i="18"/>
  <c r="U13" i="18"/>
  <c r="G13" i="18"/>
  <c r="Y13" i="18"/>
  <c r="W13" i="18"/>
  <c r="N13" i="18"/>
  <c r="K13" i="18"/>
  <c r="S13" i="18"/>
  <c r="Q13" i="18"/>
  <c r="X13" i="18"/>
  <c r="D13" i="18"/>
  <c r="J13" i="18"/>
  <c r="O13" i="18"/>
  <c r="E13" i="18"/>
  <c r="C13" i="18"/>
  <c r="P13" i="18"/>
  <c r="F13" i="18"/>
  <c r="K17" i="18"/>
  <c r="J17" i="18"/>
  <c r="P17" i="18"/>
  <c r="D17" i="18"/>
  <c r="F17" i="18"/>
  <c r="S17" i="18"/>
  <c r="G17" i="18"/>
  <c r="R17" i="18"/>
  <c r="U17" i="18"/>
  <c r="H17" i="18"/>
  <c r="T17" i="18"/>
  <c r="M17" i="18"/>
  <c r="V17" i="18"/>
  <c r="C17" i="18"/>
  <c r="E17" i="18"/>
  <c r="X17" i="18"/>
  <c r="O17" i="18"/>
  <c r="Q17" i="18"/>
  <c r="E19" i="18"/>
  <c r="L19" i="18"/>
  <c r="I19" i="18"/>
  <c r="H11" i="17" s="1"/>
  <c r="H43" i="17" s="1"/>
  <c r="N17" i="18"/>
  <c r="N19" i="18"/>
  <c r="F19" i="18"/>
  <c r="K19" i="18"/>
  <c r="T19" i="18"/>
  <c r="M19" i="18"/>
  <c r="U19" i="18"/>
  <c r="X19" i="18"/>
  <c r="Y19" i="18"/>
  <c r="R19" i="18"/>
  <c r="C19" i="18"/>
  <c r="H19" i="18"/>
  <c r="P19" i="18"/>
  <c r="S19" i="18"/>
  <c r="G19" i="18"/>
  <c r="W19" i="18"/>
  <c r="Q19" i="18"/>
  <c r="J19" i="18"/>
  <c r="O19" i="18"/>
  <c r="D19" i="18"/>
  <c r="V19" i="18"/>
  <c r="C14" i="18"/>
  <c r="G14" i="18"/>
  <c r="H14" i="18"/>
  <c r="E14" i="18"/>
  <c r="L18" i="18"/>
  <c r="G18" i="18"/>
  <c r="V18" i="18"/>
  <c r="O18" i="18"/>
  <c r="R18" i="18"/>
  <c r="N18" i="18"/>
  <c r="Q18" i="18"/>
  <c r="H18" i="18"/>
  <c r="F18" i="18"/>
  <c r="E18" i="18"/>
  <c r="M18" i="18"/>
  <c r="I18" i="18"/>
  <c r="S18" i="18"/>
  <c r="C18" i="18"/>
  <c r="T18" i="18"/>
  <c r="K18" i="18"/>
  <c r="P18" i="18"/>
  <c r="X18" i="18"/>
  <c r="D18" i="18"/>
  <c r="J18" i="18"/>
  <c r="Y18" i="18"/>
  <c r="U18" i="18"/>
  <c r="W18" i="18"/>
  <c r="E21" i="18"/>
  <c r="K21" i="18"/>
  <c r="F21" i="18"/>
  <c r="S21" i="18"/>
  <c r="N21" i="18"/>
  <c r="M21" i="18"/>
  <c r="O21" i="18"/>
  <c r="J21" i="18"/>
  <c r="R21" i="18"/>
  <c r="C21" i="18"/>
  <c r="G21" i="18"/>
  <c r="D21" i="18"/>
  <c r="L21" i="18"/>
  <c r="T21" i="18"/>
  <c r="U21" i="18"/>
  <c r="Q21" i="18"/>
  <c r="H21" i="18"/>
  <c r="X21" i="18"/>
  <c r="W21" i="18"/>
  <c r="I21" i="18"/>
  <c r="P21" i="18"/>
  <c r="V21" i="18"/>
  <c r="Y21" i="18"/>
  <c r="O22" i="18"/>
  <c r="U22" i="18"/>
  <c r="H22" i="18"/>
  <c r="J22" i="18"/>
  <c r="X22" i="18"/>
  <c r="Y22" i="18"/>
  <c r="C22" i="18"/>
  <c r="V22" i="18"/>
  <c r="E22" i="18"/>
  <c r="I22" i="18"/>
  <c r="M22" i="18"/>
  <c r="F22" i="18"/>
  <c r="D22" i="18"/>
  <c r="R22" i="18"/>
  <c r="N22" i="18"/>
  <c r="L22" i="18"/>
  <c r="S22" i="18"/>
  <c r="P22" i="18"/>
  <c r="K22" i="18"/>
  <c r="T22" i="18"/>
  <c r="Q22" i="18"/>
  <c r="G22" i="18"/>
  <c r="W22" i="18"/>
  <c r="C11" i="18"/>
  <c r="W11" i="18"/>
  <c r="L11" i="18"/>
  <c r="G11" i="18"/>
  <c r="D11" i="18"/>
  <c r="O11" i="18"/>
  <c r="N11" i="18"/>
  <c r="E11" i="18"/>
  <c r="V11" i="18"/>
  <c r="F11" i="18"/>
  <c r="R11" i="18"/>
  <c r="H11" i="18"/>
  <c r="M11" i="18"/>
  <c r="Y11" i="18"/>
  <c r="K11" i="18"/>
  <c r="Q11" i="18"/>
  <c r="J11" i="18"/>
  <c r="P11" i="18"/>
  <c r="S11" i="18"/>
  <c r="T11" i="18"/>
  <c r="U11" i="18"/>
  <c r="I11" i="18"/>
  <c r="X11" i="18"/>
  <c r="CL39" i="18"/>
  <c r="CL46" i="18"/>
  <c r="CL45" i="18"/>
  <c r="CL48" i="18"/>
  <c r="CL49" i="18"/>
  <c r="CL41" i="18"/>
  <c r="CL47" i="18"/>
  <c r="CL50" i="18"/>
  <c r="CL40" i="18"/>
  <c r="CL42" i="18"/>
  <c r="CL43" i="18"/>
  <c r="CL44" i="18"/>
  <c r="E20" i="18"/>
  <c r="M20" i="18"/>
  <c r="L20" i="18"/>
  <c r="N20" i="18"/>
  <c r="T20" i="18"/>
  <c r="J20" i="18"/>
  <c r="X20" i="18"/>
  <c r="C20" i="18"/>
  <c r="P20" i="18"/>
  <c r="Q20" i="18"/>
  <c r="O20" i="18"/>
  <c r="U20" i="18"/>
  <c r="H20" i="18"/>
  <c r="F20" i="18"/>
  <c r="K20" i="18"/>
  <c r="I20" i="18"/>
  <c r="S20" i="18"/>
  <c r="W20" i="18"/>
  <c r="D20" i="18"/>
  <c r="V20" i="18"/>
  <c r="Y20" i="18"/>
  <c r="R20" i="18"/>
  <c r="G20" i="18"/>
  <c r="C16" i="18"/>
  <c r="M16" i="18"/>
  <c r="S16" i="18"/>
  <c r="J16" i="18"/>
  <c r="F16" i="18"/>
  <c r="Q16" i="18"/>
  <c r="Y16" i="18"/>
  <c r="K16" i="18"/>
  <c r="E16" i="18"/>
  <c r="G16" i="18"/>
  <c r="N16" i="18"/>
  <c r="V16" i="18"/>
  <c r="T16" i="18"/>
  <c r="D16" i="18"/>
  <c r="R16" i="18"/>
  <c r="O16" i="18"/>
  <c r="H16" i="18"/>
  <c r="W16" i="18"/>
  <c r="X16" i="18"/>
  <c r="L16" i="18"/>
  <c r="I16" i="18"/>
  <c r="U16" i="18"/>
  <c r="P16" i="18"/>
  <c r="AA20" i="17"/>
  <c r="K14" i="18"/>
  <c r="I14" i="18"/>
  <c r="Q14" i="18"/>
  <c r="U14" i="18"/>
  <c r="M14" i="18"/>
  <c r="F14" i="18"/>
  <c r="N14" i="18"/>
  <c r="L14" i="18"/>
  <c r="S14" i="18"/>
  <c r="D14" i="18"/>
  <c r="Y14" i="18"/>
  <c r="V14" i="18"/>
  <c r="O14" i="18"/>
  <c r="P14" i="18"/>
  <c r="J14" i="18"/>
  <c r="T14" i="18"/>
  <c r="W14" i="18"/>
  <c r="R14" i="18"/>
  <c r="X14" i="18"/>
  <c r="B51" i="18"/>
  <c r="B24" i="18"/>
  <c r="AB16" i="17" l="1"/>
  <c r="AB35" i="17"/>
  <c r="AB34" i="17"/>
  <c r="AB15" i="17"/>
  <c r="AB11" i="17"/>
  <c r="AB30" i="17"/>
  <c r="AB27" i="17"/>
  <c r="AB8" i="17"/>
  <c r="AB10" i="17"/>
  <c r="AB29" i="17"/>
  <c r="AB14" i="17"/>
  <c r="AB33" i="17"/>
  <c r="AB37" i="17"/>
  <c r="AB18" i="17"/>
  <c r="AB17" i="17"/>
  <c r="AB36" i="17"/>
  <c r="AB19" i="17"/>
  <c r="AB38" i="17"/>
  <c r="AB9" i="17"/>
  <c r="AB28" i="17"/>
  <c r="AB13" i="17"/>
  <c r="AB32" i="17"/>
  <c r="AB12" i="17"/>
  <c r="AB31" i="17"/>
  <c r="W24" i="18"/>
  <c r="W53" i="18" s="1"/>
  <c r="D24" i="18"/>
  <c r="J24" i="18"/>
  <c r="Y24" i="18"/>
  <c r="K7" i="17" s="1"/>
  <c r="U24" i="18"/>
  <c r="AM20" i="17"/>
  <c r="G24" i="18"/>
  <c r="M24" i="18"/>
  <c r="X24" i="18"/>
  <c r="F24" i="18"/>
  <c r="K24" i="18"/>
  <c r="C24" i="18"/>
  <c r="I24" i="18"/>
  <c r="Q24" i="18"/>
  <c r="T24" i="18"/>
  <c r="L24" i="18"/>
  <c r="R24" i="18"/>
  <c r="V24" i="18"/>
  <c r="N24" i="18"/>
  <c r="S24" i="18"/>
  <c r="O24" i="18"/>
  <c r="H24" i="18"/>
  <c r="E24" i="18"/>
  <c r="P24" i="18"/>
  <c r="U47" i="18" l="1"/>
  <c r="U68" i="18"/>
  <c r="U41" i="18"/>
  <c r="U48" i="18"/>
  <c r="U46" i="18"/>
  <c r="U69" i="18"/>
  <c r="U39" i="18"/>
  <c r="U42" i="18"/>
  <c r="U53" i="18"/>
  <c r="U43" i="18"/>
  <c r="U64" i="18"/>
  <c r="U61" i="18"/>
  <c r="U51" i="18"/>
  <c r="U49" i="18"/>
  <c r="U44" i="18"/>
  <c r="U62" i="18"/>
  <c r="U54" i="18"/>
  <c r="U60" i="18"/>
  <c r="U50" i="18"/>
  <c r="U57" i="18"/>
  <c r="U59" i="18"/>
  <c r="U56" i="18"/>
  <c r="U55" i="18"/>
  <c r="U58" i="18"/>
  <c r="U67" i="18"/>
  <c r="U40" i="18"/>
  <c r="U66" i="18"/>
  <c r="U63" i="18"/>
  <c r="U65" i="18"/>
  <c r="U45" i="18"/>
  <c r="K39" i="17"/>
  <c r="L63" i="18"/>
  <c r="L51" i="18"/>
  <c r="L61" i="18"/>
  <c r="L48" i="18"/>
  <c r="L64" i="18"/>
  <c r="L68" i="18"/>
  <c r="L44" i="18"/>
  <c r="L60" i="18"/>
  <c r="L62" i="18"/>
  <c r="L59" i="18"/>
  <c r="L43" i="18"/>
  <c r="L53" i="18"/>
  <c r="L69" i="18"/>
  <c r="L54" i="18"/>
  <c r="L42" i="18"/>
  <c r="L46" i="18"/>
  <c r="L40" i="18"/>
  <c r="L39" i="18"/>
  <c r="L57" i="18"/>
  <c r="L58" i="18"/>
  <c r="L56" i="18"/>
  <c r="L41" i="18"/>
  <c r="L66" i="18"/>
  <c r="L55" i="18"/>
  <c r="L50" i="18"/>
  <c r="L49" i="18"/>
  <c r="L47" i="18"/>
  <c r="L45" i="18"/>
  <c r="L65" i="18"/>
  <c r="L67" i="18"/>
  <c r="R47" i="18"/>
  <c r="R41" i="18"/>
  <c r="R39" i="18"/>
  <c r="R57" i="18"/>
  <c r="R64" i="18"/>
  <c r="R67" i="18"/>
  <c r="R58" i="18"/>
  <c r="R68" i="18"/>
  <c r="R51" i="18"/>
  <c r="R50" i="18"/>
  <c r="R60" i="18"/>
  <c r="R62" i="18"/>
  <c r="R44" i="18"/>
  <c r="R45" i="18"/>
  <c r="R55" i="18"/>
  <c r="R49" i="18"/>
  <c r="R63" i="18"/>
  <c r="R46" i="18"/>
  <c r="R43" i="18"/>
  <c r="R42" i="18"/>
  <c r="R53" i="18"/>
  <c r="R61" i="18"/>
  <c r="R69" i="18"/>
  <c r="R56" i="18"/>
  <c r="R59" i="18"/>
  <c r="R66" i="18"/>
  <c r="R54" i="18"/>
  <c r="R65" i="18"/>
  <c r="R40" i="18"/>
  <c r="R48" i="18"/>
  <c r="V45" i="18"/>
  <c r="V44" i="18"/>
  <c r="V57" i="18"/>
  <c r="V68" i="18"/>
  <c r="V46" i="18"/>
  <c r="V47" i="18"/>
  <c r="V42" i="18"/>
  <c r="V41" i="18"/>
  <c r="V43" i="18"/>
  <c r="V59" i="18"/>
  <c r="V60" i="18"/>
  <c r="V64" i="18"/>
  <c r="V63" i="18"/>
  <c r="V54" i="18"/>
  <c r="V39" i="18"/>
  <c r="V48" i="18"/>
  <c r="V58" i="18"/>
  <c r="V50" i="18"/>
  <c r="V55" i="18"/>
  <c r="V66" i="18"/>
  <c r="N43" i="18"/>
  <c r="N48" i="18"/>
  <c r="N57" i="18"/>
  <c r="N40" i="18"/>
  <c r="N67" i="18"/>
  <c r="N60" i="18"/>
  <c r="K53" i="18"/>
  <c r="K67" i="18"/>
  <c r="K55" i="18"/>
  <c r="K69" i="18"/>
  <c r="K59" i="18"/>
  <c r="K44" i="18"/>
  <c r="K57" i="18"/>
  <c r="K42" i="18"/>
  <c r="K56" i="18"/>
  <c r="K50" i="18"/>
  <c r="S61" i="18"/>
  <c r="S64" i="18"/>
  <c r="H12" i="17" s="1"/>
  <c r="H44" i="17" s="1"/>
  <c r="S60" i="18"/>
  <c r="S47" i="18"/>
  <c r="S49" i="18"/>
  <c r="S42" i="18"/>
  <c r="S53" i="18"/>
  <c r="S62" i="18"/>
  <c r="V62" i="18"/>
  <c r="V56" i="18"/>
  <c r="V61" i="18"/>
  <c r="V69" i="18"/>
  <c r="V40" i="18"/>
  <c r="V51" i="18"/>
  <c r="V67" i="18"/>
  <c r="V53" i="18"/>
  <c r="V49" i="18"/>
  <c r="V65" i="18"/>
  <c r="N45" i="18"/>
  <c r="N62" i="18"/>
  <c r="N56" i="18"/>
  <c r="N55" i="18"/>
  <c r="N50" i="18"/>
  <c r="N49" i="18"/>
  <c r="N69" i="18"/>
  <c r="N58" i="18"/>
  <c r="N65" i="18"/>
  <c r="N66" i="18"/>
  <c r="N53" i="18"/>
  <c r="N39" i="18"/>
  <c r="N41" i="18"/>
  <c r="N44" i="18"/>
  <c r="N51" i="18"/>
  <c r="N47" i="18"/>
  <c r="N68" i="18"/>
  <c r="N64" i="18"/>
  <c r="K62" i="18"/>
  <c r="K41" i="18"/>
  <c r="K64" i="18"/>
  <c r="K54" i="18"/>
  <c r="K40" i="18"/>
  <c r="K68" i="18"/>
  <c r="K45" i="18"/>
  <c r="S58" i="18"/>
  <c r="S68" i="18"/>
  <c r="S50" i="18"/>
  <c r="S48" i="18"/>
  <c r="S43" i="18"/>
  <c r="S40" i="18"/>
  <c r="N63" i="18"/>
  <c r="N59" i="18"/>
  <c r="N42" i="18"/>
  <c r="N61" i="18"/>
  <c r="N54" i="18"/>
  <c r="N46" i="18"/>
  <c r="K48" i="18"/>
  <c r="K51" i="18"/>
  <c r="K47" i="18"/>
  <c r="K66" i="18"/>
  <c r="K61" i="18"/>
  <c r="K63" i="18"/>
  <c r="K46" i="18"/>
  <c r="K49" i="18"/>
  <c r="K58" i="18"/>
  <c r="K60" i="18"/>
  <c r="K43" i="18"/>
  <c r="K39" i="18"/>
  <c r="K65" i="18"/>
  <c r="S65" i="18"/>
  <c r="S55" i="18"/>
  <c r="S44" i="18"/>
  <c r="S41" i="18"/>
  <c r="S39" i="18"/>
  <c r="S59" i="18"/>
  <c r="S67" i="18"/>
  <c r="S69" i="18"/>
  <c r="S57" i="18"/>
  <c r="H9" i="17" s="1"/>
  <c r="H41" i="17" s="1"/>
  <c r="S56" i="18"/>
  <c r="H8" i="17" s="1"/>
  <c r="H40" i="17" s="1"/>
  <c r="S45" i="18"/>
  <c r="S51" i="18"/>
  <c r="S63" i="18"/>
  <c r="S66" i="18"/>
  <c r="S46" i="18"/>
  <c r="S54" i="18"/>
  <c r="G7" i="17" s="1"/>
  <c r="Q43" i="18"/>
  <c r="Q56" i="18"/>
  <c r="Q41" i="18"/>
  <c r="Q39" i="18"/>
  <c r="Q48" i="18"/>
  <c r="Q50" i="18"/>
  <c r="Q53" i="18"/>
  <c r="Q64" i="18"/>
  <c r="Q54" i="18"/>
  <c r="Q45" i="18"/>
  <c r="Q55" i="18"/>
  <c r="Q58" i="18"/>
  <c r="Q66" i="18"/>
  <c r="Q68" i="18"/>
  <c r="Q46" i="18"/>
  <c r="Q59" i="18"/>
  <c r="Q65" i="18"/>
  <c r="Q42" i="18"/>
  <c r="Q40" i="18"/>
  <c r="Q67" i="18"/>
  <c r="Q57" i="18"/>
  <c r="Q60" i="18"/>
  <c r="Q62" i="18"/>
  <c r="Q69" i="18"/>
  <c r="Q51" i="18"/>
  <c r="Q49" i="18"/>
  <c r="Q61" i="18"/>
  <c r="Q44" i="18"/>
  <c r="Q63" i="18"/>
  <c r="Q47" i="18"/>
  <c r="O62" i="18"/>
  <c r="O46" i="18"/>
  <c r="O40" i="18"/>
  <c r="O65" i="18"/>
  <c r="O47" i="18"/>
  <c r="O41" i="18"/>
  <c r="O54" i="18"/>
  <c r="O56" i="18"/>
  <c r="O61" i="18"/>
  <c r="O57" i="18"/>
  <c r="O49" i="18"/>
  <c r="O44" i="18"/>
  <c r="O63" i="18"/>
  <c r="O59" i="18"/>
  <c r="O39" i="18"/>
  <c r="O53" i="18"/>
  <c r="O69" i="18"/>
  <c r="O68" i="18"/>
  <c r="O64" i="18"/>
  <c r="O58" i="18"/>
  <c r="O67" i="18"/>
  <c r="O51" i="18"/>
  <c r="O55" i="18"/>
  <c r="O60" i="18"/>
  <c r="O50" i="18"/>
  <c r="O42" i="18"/>
  <c r="O43" i="18"/>
  <c r="O66" i="18"/>
  <c r="O45" i="18"/>
  <c r="O48" i="18"/>
  <c r="P58" i="18"/>
  <c r="P63" i="18"/>
  <c r="P57" i="18"/>
  <c r="P64" i="18"/>
  <c r="P46" i="18"/>
  <c r="P53" i="18"/>
  <c r="P49" i="18"/>
  <c r="P55" i="18"/>
  <c r="P67" i="18"/>
  <c r="P68" i="18"/>
  <c r="P45" i="18"/>
  <c r="P60" i="18"/>
  <c r="P54" i="18"/>
  <c r="P40" i="18"/>
  <c r="P44" i="18"/>
  <c r="P42" i="18"/>
  <c r="P59" i="18"/>
  <c r="P65" i="18"/>
  <c r="P39" i="18"/>
  <c r="P62" i="18"/>
  <c r="P43" i="18"/>
  <c r="P41" i="18"/>
  <c r="P61" i="18"/>
  <c r="P69" i="18"/>
  <c r="P48" i="18"/>
  <c r="P47" i="18"/>
  <c r="P56" i="18"/>
  <c r="P51" i="18"/>
  <c r="P66" i="18"/>
  <c r="I54" i="18"/>
  <c r="J11" i="17"/>
  <c r="J43" i="17" s="1"/>
  <c r="P50" i="18"/>
  <c r="T53" i="18"/>
  <c r="T64" i="18"/>
  <c r="T44" i="18"/>
  <c r="T56" i="18"/>
  <c r="T49" i="18"/>
  <c r="T51" i="18"/>
  <c r="T50" i="18"/>
  <c r="T43" i="18"/>
  <c r="T59" i="18"/>
  <c r="T57" i="18"/>
  <c r="T40" i="18"/>
  <c r="T60" i="18"/>
  <c r="T42" i="18"/>
  <c r="T45" i="18"/>
  <c r="T67" i="18"/>
  <c r="T58" i="18"/>
  <c r="T41" i="18"/>
  <c r="T54" i="18"/>
  <c r="T48" i="18"/>
  <c r="T61" i="18"/>
  <c r="T63" i="18"/>
  <c r="T62" i="18"/>
  <c r="T69" i="18"/>
  <c r="T55" i="18"/>
  <c r="T65" i="18"/>
  <c r="T46" i="18"/>
  <c r="T66" i="18"/>
  <c r="T47" i="18"/>
  <c r="T68" i="18"/>
  <c r="T39" i="18"/>
  <c r="M62" i="18"/>
  <c r="M54" i="18"/>
  <c r="M57" i="18"/>
  <c r="M43" i="18"/>
  <c r="M56" i="18"/>
  <c r="M66" i="18"/>
  <c r="M64" i="18"/>
  <c r="M41" i="18"/>
  <c r="M51" i="18"/>
  <c r="M67" i="18"/>
  <c r="M53" i="18"/>
  <c r="M55" i="18"/>
  <c r="M48" i="18"/>
  <c r="M69" i="18"/>
  <c r="M44" i="18"/>
  <c r="M65" i="18"/>
  <c r="M58" i="18"/>
  <c r="M63" i="18"/>
  <c r="M59" i="18"/>
  <c r="M68" i="18"/>
  <c r="M39" i="18"/>
  <c r="M61" i="18"/>
  <c r="M46" i="18"/>
  <c r="M60" i="18"/>
  <c r="M40" i="18"/>
  <c r="M42" i="18"/>
  <c r="M49" i="18"/>
  <c r="M45" i="18"/>
  <c r="M47" i="18"/>
  <c r="M50" i="18"/>
  <c r="E43" i="17" l="1"/>
  <c r="M11" i="17"/>
  <c r="W66" i="18"/>
  <c r="X66" i="18" s="1"/>
  <c r="W59" i="18"/>
  <c r="X59" i="18" s="1"/>
  <c r="W48" i="18"/>
  <c r="W61" i="18"/>
  <c r="X61" i="18" s="1"/>
  <c r="W46" i="18"/>
  <c r="W47" i="18"/>
  <c r="G39" i="17"/>
  <c r="H50" i="17"/>
  <c r="W45" i="18"/>
  <c r="W51" i="18"/>
  <c r="W63" i="18"/>
  <c r="X63" i="18" s="1"/>
  <c r="W62" i="18"/>
  <c r="X62" i="18" s="1"/>
  <c r="W58" i="18"/>
  <c r="X58" i="18" s="1"/>
  <c r="W60" i="18"/>
  <c r="X60" i="18" s="1"/>
  <c r="W69" i="18"/>
  <c r="X69" i="18" s="1"/>
  <c r="W43" i="18"/>
  <c r="W54" i="18"/>
  <c r="X54" i="18" s="1"/>
  <c r="I7" i="17" s="1"/>
  <c r="W57" i="18"/>
  <c r="W65" i="18"/>
  <c r="X65" i="18" s="1"/>
  <c r="W49" i="18"/>
  <c r="W67" i="18"/>
  <c r="X67" i="18" s="1"/>
  <c r="W41" i="18"/>
  <c r="W55" i="18"/>
  <c r="X55" i="18" s="1"/>
  <c r="W64" i="18"/>
  <c r="W44" i="18"/>
  <c r="W40" i="18"/>
  <c r="W42" i="18"/>
  <c r="W39" i="18"/>
  <c r="W68" i="18"/>
  <c r="X68" i="18" s="1"/>
  <c r="W56" i="18"/>
  <c r="W50" i="18"/>
  <c r="X64" i="18" l="1"/>
  <c r="I39" i="17"/>
  <c r="X57" i="18"/>
  <c r="C9" i="17"/>
  <c r="J9" i="17"/>
  <c r="J41" i="17" s="1"/>
  <c r="J12" i="17"/>
  <c r="J44" i="17" s="1"/>
  <c r="C8" i="17"/>
  <c r="D23" i="17" s="1"/>
  <c r="J8" i="17"/>
  <c r="J40" i="17" s="1"/>
  <c r="X56" i="18"/>
  <c r="N7" i="17"/>
  <c r="M7" i="17"/>
  <c r="M39" i="17" s="1"/>
  <c r="M9" i="17" l="1"/>
  <c r="C41" i="17"/>
  <c r="M12" i="17"/>
  <c r="E44" i="17"/>
  <c r="G28" i="17"/>
  <c r="H46" i="17"/>
  <c r="J50" i="17"/>
  <c r="C40" i="17"/>
  <c r="M8" i="17"/>
  <c r="O7" i="17"/>
  <c r="O39" i="17" s="1"/>
  <c r="N39" i="17"/>
  <c r="P7" i="17"/>
  <c r="P39" i="17" s="1"/>
  <c r="H31" i="17" l="1"/>
  <c r="G60" i="17"/>
  <c r="D50" i="17"/>
  <c r="E50" i="17" l="1"/>
  <c r="I28" i="17"/>
  <c r="J46" i="17"/>
  <c r="E28" i="17"/>
  <c r="K46" i="17"/>
  <c r="M18" i="17"/>
  <c r="P4" i="17" l="1"/>
  <c r="F31" i="17"/>
  <c r="J31" i="17"/>
  <c r="I60" i="17"/>
  <c r="E60" i="17"/>
  <c r="D25" i="17" l="1"/>
  <c r="M14" i="17"/>
  <c r="C46" i="17"/>
  <c r="M25" i="17" l="1"/>
  <c r="M57" i="17" s="1"/>
  <c r="D57" i="17"/>
  <c r="D55" i="17"/>
  <c r="U29" i="17"/>
  <c r="Z29" i="17" s="1"/>
  <c r="U32" i="17"/>
  <c r="U38" i="17"/>
  <c r="U33" i="17"/>
  <c r="U34" i="17"/>
  <c r="U27" i="17"/>
  <c r="Z27" i="17" s="1"/>
  <c r="U28" i="17"/>
  <c r="U36" i="17"/>
  <c r="AG36" i="17" s="1"/>
  <c r="U37" i="17"/>
  <c r="U35" i="17"/>
  <c r="U30" i="17"/>
  <c r="C28" i="17"/>
  <c r="D31" i="17" s="1"/>
  <c r="O23" i="17"/>
  <c r="O55" i="17" s="1"/>
  <c r="U31" i="17"/>
  <c r="M23" i="17"/>
  <c r="M55" i="17" s="1"/>
  <c r="AG29" i="17" l="1"/>
  <c r="Z32" i="17"/>
  <c r="AG32" i="17"/>
  <c r="Z30" i="17"/>
  <c r="AG38" i="17"/>
  <c r="AG33" i="17"/>
  <c r="U39" i="17"/>
  <c r="AG39" i="17" s="1"/>
  <c r="Z33" i="17"/>
  <c r="AG27" i="17"/>
  <c r="AG35" i="17"/>
  <c r="AG30" i="17"/>
  <c r="C60" i="17"/>
  <c r="Y29" i="17"/>
  <c r="AK29" i="17" s="1"/>
  <c r="AL29" i="17"/>
  <c r="AL27" i="17"/>
  <c r="Z38" i="17"/>
  <c r="Y38" i="17" s="1"/>
  <c r="AK38" i="17" s="1"/>
  <c r="Z36" i="17"/>
  <c r="Z35" i="17"/>
  <c r="K28" i="17"/>
  <c r="AA29" i="17"/>
  <c r="AM29" i="17" s="1"/>
  <c r="AA27" i="17"/>
  <c r="Y27" i="17"/>
  <c r="AG34" i="17"/>
  <c r="Z34" i="17"/>
  <c r="Z28" i="17"/>
  <c r="AG28" i="17"/>
  <c r="Z37" i="17"/>
  <c r="AG37" i="17"/>
  <c r="AG31" i="17"/>
  <c r="Z31" i="17"/>
  <c r="AA38" i="17" l="1"/>
  <c r="AM38" i="17" s="1"/>
  <c r="AL38" i="17"/>
  <c r="AA33" i="17"/>
  <c r="AM33" i="17" s="1"/>
  <c r="Y33" i="17"/>
  <c r="AK33" i="17" s="1"/>
  <c r="AL32" i="17"/>
  <c r="AA32" i="17"/>
  <c r="AM32" i="17" s="1"/>
  <c r="Y32" i="17"/>
  <c r="AK32" i="17" s="1"/>
  <c r="Y36" i="17"/>
  <c r="AK36" i="17" s="1"/>
  <c r="AL36" i="17"/>
  <c r="AA36" i="17"/>
  <c r="AM36" i="17" s="1"/>
  <c r="AL35" i="17"/>
  <c r="AA35" i="17"/>
  <c r="AM35" i="17" s="1"/>
  <c r="Y35" i="17"/>
  <c r="AK35" i="17" s="1"/>
  <c r="Y30" i="17"/>
  <c r="AK30" i="17" s="1"/>
  <c r="AL30" i="17"/>
  <c r="AA30" i="17"/>
  <c r="AM30" i="17" s="1"/>
  <c r="AL33" i="17"/>
  <c r="K60" i="17"/>
  <c r="L31" i="17"/>
  <c r="M28" i="17"/>
  <c r="AK27" i="17"/>
  <c r="AM27" i="17"/>
  <c r="AL34" i="17"/>
  <c r="Y34" i="17"/>
  <c r="AK34" i="17" s="1"/>
  <c r="AA34" i="17"/>
  <c r="AM34" i="17" s="1"/>
  <c r="Y28" i="17"/>
  <c r="AK28" i="17" s="1"/>
  <c r="AA28" i="17"/>
  <c r="AM28" i="17" s="1"/>
  <c r="AL28" i="17"/>
  <c r="AA37" i="17"/>
  <c r="AM37" i="17" s="1"/>
  <c r="Y37" i="17"/>
  <c r="AK37" i="17" s="1"/>
  <c r="AL37" i="17"/>
  <c r="AA31" i="17"/>
  <c r="AM31" i="17" s="1"/>
  <c r="Y31" i="17"/>
  <c r="AK31" i="17" s="1"/>
  <c r="AL31" i="17"/>
  <c r="Z39" i="17"/>
  <c r="AL39" i="17" l="1"/>
  <c r="O26" i="17"/>
  <c r="Y39" i="17"/>
  <c r="AK39" i="17" s="1"/>
  <c r="AA39" i="17"/>
  <c r="AC2" i="17" s="1"/>
  <c r="AM39" i="17" l="1"/>
</calcChain>
</file>

<file path=xl/sharedStrings.xml><?xml version="1.0" encoding="utf-8"?>
<sst xmlns="http://schemas.openxmlformats.org/spreadsheetml/2006/main" count="2180" uniqueCount="598">
  <si>
    <t>Contas</t>
  </si>
  <si>
    <t>Total</t>
  </si>
  <si>
    <t>S.14
Famílias</t>
  </si>
  <si>
    <t>Códigos</t>
  </si>
  <si>
    <t>Conta de bens
e serviços
(recursos)</t>
  </si>
  <si>
    <t>Conta do
resto do
mundo</t>
  </si>
  <si>
    <t>Contas correntes (1 000 000 R$)</t>
  </si>
  <si>
    <t>Usos</t>
  </si>
  <si>
    <t xml:space="preserve">   P.7</t>
  </si>
  <si>
    <t>Importação de bens e serviços</t>
  </si>
  <si>
    <t xml:space="preserve">   P.6</t>
  </si>
  <si>
    <t>Exportação de bens e serviços</t>
  </si>
  <si>
    <t xml:space="preserve">   P.1</t>
  </si>
  <si>
    <t>Produção</t>
  </si>
  <si>
    <t xml:space="preserve">   P.11</t>
  </si>
  <si>
    <t xml:space="preserve">  Produção mercantil</t>
  </si>
  <si>
    <t xml:space="preserve">   P.2</t>
  </si>
  <si>
    <t>Consumo intermediário</t>
  </si>
  <si>
    <t xml:space="preserve">   D.21-D.31</t>
  </si>
  <si>
    <t xml:space="preserve">  Impostos, líquidos de subsídios, sobre produtos</t>
  </si>
  <si>
    <t>Saldo externo de bens e serviços</t>
  </si>
  <si>
    <t xml:space="preserve">   D.1</t>
  </si>
  <si>
    <t>Remuneração dos empregados</t>
  </si>
  <si>
    <t xml:space="preserve">   D.11</t>
  </si>
  <si>
    <t xml:space="preserve">  Ordenados e salários</t>
  </si>
  <si>
    <t xml:space="preserve">   D.12</t>
  </si>
  <si>
    <t xml:space="preserve">  Contribuições sociais dos empregadores</t>
  </si>
  <si>
    <t xml:space="preserve">   D.121</t>
  </si>
  <si>
    <t xml:space="preserve">    Contribuições sociais efetivas</t>
  </si>
  <si>
    <t xml:space="preserve">   D.122</t>
  </si>
  <si>
    <t xml:space="preserve">    Contribuições sociais imputadas</t>
  </si>
  <si>
    <t xml:space="preserve">   D.2-D.3</t>
  </si>
  <si>
    <t>Impostos, líquidos de subsídios, sobre a produção e a importação</t>
  </si>
  <si>
    <t xml:space="preserve">   D.29-D.39</t>
  </si>
  <si>
    <t xml:space="preserve">  Outros impostos, líquidos de subsídios, sobre a produção</t>
  </si>
  <si>
    <t>Excedente operacional bruto</t>
  </si>
  <si>
    <t>Rendimento misto bruto (rendimento de autônomos)</t>
  </si>
  <si>
    <t xml:space="preserve">   D.4</t>
  </si>
  <si>
    <t>Rendas de propriedade</t>
  </si>
  <si>
    <t xml:space="preserve">   D.41</t>
  </si>
  <si>
    <t xml:space="preserve">  Juros</t>
  </si>
  <si>
    <t xml:space="preserve">   D.42</t>
  </si>
  <si>
    <t xml:space="preserve">  Dividendos e retiradas</t>
  </si>
  <si>
    <t xml:space="preserve">  Lucros reinvestidos de investimento direto estrangeiro </t>
  </si>
  <si>
    <t xml:space="preserve">   D.44</t>
  </si>
  <si>
    <t xml:space="preserve">   D.45</t>
  </si>
  <si>
    <t xml:space="preserve">  Renda da terra</t>
  </si>
  <si>
    <t xml:space="preserve">   D.5</t>
  </si>
  <si>
    <t>Impostos correntes sobre a renda, patrimônio, etc.</t>
  </si>
  <si>
    <t xml:space="preserve">   D.61</t>
  </si>
  <si>
    <t>Contribuições sociais</t>
  </si>
  <si>
    <t xml:space="preserve">   D.611</t>
  </si>
  <si>
    <t xml:space="preserve">  Contribuições sociais efetivas</t>
  </si>
  <si>
    <t xml:space="preserve">    Contribuições sociais efetivas dos empregadores</t>
  </si>
  <si>
    <t xml:space="preserve">    Contribuições sociais dos empregados</t>
  </si>
  <si>
    <t xml:space="preserve">    Contribuições sociais dos não-assalariados</t>
  </si>
  <si>
    <t xml:space="preserve">   D.612</t>
  </si>
  <si>
    <t xml:space="preserve">  Contribuições sociais imputadas</t>
  </si>
  <si>
    <t xml:space="preserve">   D.62</t>
  </si>
  <si>
    <t>Benefícios sociais, exceto transferências sociais em espécie</t>
  </si>
  <si>
    <t xml:space="preserve">  Benefícios sociais com constituição de fundos</t>
  </si>
  <si>
    <t xml:space="preserve">   D.623</t>
  </si>
  <si>
    <t xml:space="preserve">  Benefícios sociais sem constituição de fundos</t>
  </si>
  <si>
    <t xml:space="preserve">  Benefícios de assistência social em numerário</t>
  </si>
  <si>
    <t xml:space="preserve">   D.7</t>
  </si>
  <si>
    <t>Outras transferências correntes</t>
  </si>
  <si>
    <t xml:space="preserve">   D.71</t>
  </si>
  <si>
    <t xml:space="preserve">  Prêmios líquidos de seguros não-vida</t>
  </si>
  <si>
    <t xml:space="preserve">   D.72</t>
  </si>
  <si>
    <t xml:space="preserve">  Indenizações de seguros não-vida</t>
  </si>
  <si>
    <t xml:space="preserve">   D.73</t>
  </si>
  <si>
    <t xml:space="preserve">  Transferências correntes entre administrações públicas</t>
  </si>
  <si>
    <t xml:space="preserve">   D.75</t>
  </si>
  <si>
    <t xml:space="preserve">  Transferências correntes diversas</t>
  </si>
  <si>
    <t>Renda disponível bruta</t>
  </si>
  <si>
    <t xml:space="preserve">   D.63</t>
  </si>
  <si>
    <t>Transferências sociais em espécie</t>
  </si>
  <si>
    <t>Renda disponível bruta ajustada</t>
  </si>
  <si>
    <t xml:space="preserve">   P.4</t>
  </si>
  <si>
    <t>Consumo final efetivo</t>
  </si>
  <si>
    <t xml:space="preserve">   P.3</t>
  </si>
  <si>
    <t>Despesa de consumo final</t>
  </si>
  <si>
    <t xml:space="preserve">   D.8</t>
  </si>
  <si>
    <t>Ajustamento pela variação das participações líquidas das famílias nos fundos de pensões, FGTS e PIS/PASEP</t>
  </si>
  <si>
    <t>Poupança bruta</t>
  </si>
  <si>
    <t>Saldo externo corrente</t>
  </si>
  <si>
    <t xml:space="preserve">   P.51</t>
  </si>
  <si>
    <t>Formação bruta de capital fixo</t>
  </si>
  <si>
    <t xml:space="preserve">   P.52</t>
  </si>
  <si>
    <t>Variação de estoques</t>
  </si>
  <si>
    <t>Aquisições líquidas de cessões de ativos não-financeiros não-produzidos</t>
  </si>
  <si>
    <t xml:space="preserve">   D.9</t>
  </si>
  <si>
    <t>Transferências de capital a receber</t>
  </si>
  <si>
    <t>Transferências de capital a pagar</t>
  </si>
  <si>
    <t>Variações do patrimônio líquido resultantes de poupança e da transferência de capital</t>
  </si>
  <si>
    <t>Contas de acumulação (1 000 000 R$)</t>
  </si>
  <si>
    <t>Variações de ativos</t>
  </si>
  <si>
    <t xml:space="preserve">  Produção não-mercantil</t>
  </si>
  <si>
    <t>Valor adicionado bruto/Produto interno bruto (1)</t>
  </si>
  <si>
    <t>Saldo das rendas primárias brutas/Renda nacional bruta (2)</t>
  </si>
  <si>
    <t xml:space="preserve">  Rendimento de propriedade atribuído a detentores de apólices de seguros</t>
  </si>
  <si>
    <t>2.1.1. Geração
da renda</t>
  </si>
  <si>
    <t>2.2. Distribuição
secundária
da renda</t>
  </si>
  <si>
    <t>2.3. Redistribuição 
da renda em espécie</t>
  </si>
  <si>
    <t>3.1. Capital</t>
  </si>
  <si>
    <t>2.3. Redistribuição
da renda em espécie</t>
  </si>
  <si>
    <t>Fonte: IBGE, Diretoria de Pesquisas, Coordenação de Contas Nacionais.</t>
  </si>
  <si>
    <t>0S1</t>
  </si>
  <si>
    <t>Total da economia</t>
  </si>
  <si>
    <t>0S1001</t>
  </si>
  <si>
    <t>Empresas não financeiras</t>
  </si>
  <si>
    <t>0S1002FIN</t>
  </si>
  <si>
    <t>Empresas financeiras</t>
  </si>
  <si>
    <t>0S1002SEG</t>
  </si>
  <si>
    <t>Seguro</t>
  </si>
  <si>
    <t>0S1003</t>
  </si>
  <si>
    <t>Administração pública</t>
  </si>
  <si>
    <t>0S1004</t>
  </si>
  <si>
    <t>Famílias</t>
  </si>
  <si>
    <t>0S1005</t>
  </si>
  <si>
    <t>Instituições s/ fins lucrativ a serviço das fam.</t>
  </si>
  <si>
    <t>0S2</t>
  </si>
  <si>
    <t>Resto do mundo</t>
  </si>
  <si>
    <t>P.7</t>
  </si>
  <si>
    <t>P.6</t>
  </si>
  <si>
    <t>P.1</t>
  </si>
  <si>
    <t>P.11</t>
  </si>
  <si>
    <t xml:space="preserve">P.12 </t>
  </si>
  <si>
    <t>P.2</t>
  </si>
  <si>
    <t>D.21-D.31</t>
  </si>
  <si>
    <t>S.1</t>
  </si>
  <si>
    <t>S.11</t>
  </si>
  <si>
    <t>D.1</t>
  </si>
  <si>
    <t>D.11</t>
  </si>
  <si>
    <t>D.12</t>
  </si>
  <si>
    <t>D.121</t>
  </si>
  <si>
    <t>D.122</t>
  </si>
  <si>
    <t>D.2-D.3</t>
  </si>
  <si>
    <t>D.29-D.39</t>
  </si>
  <si>
    <t>S.2</t>
  </si>
  <si>
    <t>S.3</t>
  </si>
  <si>
    <t>D.4</t>
  </si>
  <si>
    <t>D.41</t>
  </si>
  <si>
    <t>D.42</t>
  </si>
  <si>
    <t>D.43</t>
  </si>
  <si>
    <t>D.44</t>
  </si>
  <si>
    <t xml:space="preserve">   Rendim  propried atrib detentores apólices seguros</t>
  </si>
  <si>
    <t>D.45</t>
  </si>
  <si>
    <t xml:space="preserve">   Aluguel da terra</t>
  </si>
  <si>
    <t>S.5/S.5*</t>
  </si>
  <si>
    <t>Saldo das rendas primárias brutas/Renda nacional bruta</t>
  </si>
  <si>
    <t>D.5</t>
  </si>
  <si>
    <t>D.61</t>
  </si>
  <si>
    <t>D.611</t>
  </si>
  <si>
    <t>D.6111</t>
  </si>
  <si>
    <t>D.6112</t>
  </si>
  <si>
    <t>D.6113</t>
  </si>
  <si>
    <t>D.612</t>
  </si>
  <si>
    <t>D.62</t>
  </si>
  <si>
    <t>D.622</t>
  </si>
  <si>
    <t>D.623</t>
  </si>
  <si>
    <t>D.624</t>
  </si>
  <si>
    <t>D.7</t>
  </si>
  <si>
    <t>D.71</t>
  </si>
  <si>
    <t xml:space="preserve">      Prêmios líquidos de seguros não-vida</t>
  </si>
  <si>
    <t>D.72</t>
  </si>
  <si>
    <t xml:space="preserve">      Indenizações de seguros não-vida</t>
  </si>
  <si>
    <t>D.73</t>
  </si>
  <si>
    <t xml:space="preserve">      Transferências correntes entre administrações públicas</t>
  </si>
  <si>
    <t>D.75</t>
  </si>
  <si>
    <t xml:space="preserve">      Transferências correntes diversas</t>
  </si>
  <si>
    <t xml:space="preserve">     Cooperação Internacional</t>
  </si>
  <si>
    <t>S.6</t>
  </si>
  <si>
    <t>D.63</t>
  </si>
  <si>
    <t>B.7</t>
  </si>
  <si>
    <t xml:space="preserve">Renda disponível bruta ajustada </t>
  </si>
  <si>
    <t>P.4</t>
  </si>
  <si>
    <t>P.3</t>
  </si>
  <si>
    <t>D.8</t>
  </si>
  <si>
    <t xml:space="preserve">Ajustamento pela variação das participações líquidas das famílias nos fundos de pensões, FGTS e PIS/PASEP </t>
  </si>
  <si>
    <t>S.8</t>
  </si>
  <si>
    <t>S.12</t>
  </si>
  <si>
    <t xml:space="preserve">Saldo externo corrente </t>
  </si>
  <si>
    <t>P.51</t>
  </si>
  <si>
    <t>P.52</t>
  </si>
  <si>
    <t xml:space="preserve">K.2 </t>
  </si>
  <si>
    <t>Aquisição líquida de cessão de ativo não financeiro não produzido</t>
  </si>
  <si>
    <t>D.9</t>
  </si>
  <si>
    <t>S.9</t>
  </si>
  <si>
    <t>Capacidade (+) / Necessidade(-) líquida de financiamento</t>
  </si>
  <si>
    <t>S.10.1</t>
  </si>
  <si>
    <t xml:space="preserve">  Cooperação Internacional</t>
  </si>
  <si>
    <t xml:space="preserve">   D.622</t>
  </si>
  <si>
    <t xml:space="preserve">   D.74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</si>
  <si>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</si>
  <si>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</si>
  <si>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</si>
  <si>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</si>
  <si>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</si>
  <si>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</si>
  <si>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</si>
  <si>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</si>
  <si>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</si>
  <si>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</si>
  <si>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</si>
  <si>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</si>
  <si>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</si>
  <si>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</si>
  <si>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</si>
  <si>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</si>
  <si>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</si>
  <si>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</si>
  <si>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</si>
  <si>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</si>
  <si>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</si>
  <si>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</si>
  <si>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</si>
  <si>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</si>
  <si>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</si>
  <si>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</si>
  <si>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</si>
  <si>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</si>
  <si>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</si>
  <si>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</si>
  <si>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</si>
  <si>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</si>
  <si>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</si>
  <si>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</si>
  <si>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</si>
  <si>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</si>
  <si>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</si>
  <si>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</si>
  <si>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</si>
  <si>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</si>
  <si>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</si>
  <si>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</si>
  <si>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</si>
  <si>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</si>
  <si>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</si>
  <si>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</si>
  <si>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</si>
  <si>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</si>
  <si>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</si>
  <si>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</si>
  <si>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</si>
  <si>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</si>
  <si>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</si>
  <si>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</si>
  <si>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</si>
  <si>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</si>
  <si>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</si>
  <si>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</si>
  <si>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 xml:space="preserve">   D.621</t>
  </si>
  <si>
    <t>059</t>
  </si>
  <si>
    <t>060</t>
  </si>
  <si>
    <t>061</t>
  </si>
  <si>
    <t xml:space="preserve">  Benefícios de seguridade social em numerário </t>
  </si>
  <si>
    <t>062</t>
  </si>
  <si>
    <t>D.74</t>
  </si>
  <si>
    <t>D.621</t>
  </si>
  <si>
    <t>Impostos, líquidos de subsídios, sobre produtos</t>
  </si>
  <si>
    <t>Valor adicionado bruto/Produto interno bruto</t>
  </si>
  <si>
    <t xml:space="preserve">  Lucros de investim direto estrangeiro reinvestidos</t>
  </si>
  <si>
    <t>2.4. Uso
da renda</t>
  </si>
  <si>
    <t>Registros
correspondentes à</t>
  </si>
  <si>
    <t>S.11
Empresas
não-
finan-
ceiras</t>
  </si>
  <si>
    <t>S.12
Empresas
finan-
ceiras</t>
  </si>
  <si>
    <t>S.1
Total
da
economia</t>
  </si>
  <si>
    <t>Conta
de bens
e serviços
(usos)</t>
  </si>
  <si>
    <t xml:space="preserve">   B.1</t>
  </si>
  <si>
    <t xml:space="preserve">   B.11</t>
  </si>
  <si>
    <t xml:space="preserve">   B.2</t>
  </si>
  <si>
    <t xml:space="preserve">   B.3</t>
  </si>
  <si>
    <t xml:space="preserve">   B.5</t>
  </si>
  <si>
    <t xml:space="preserve">   B.6</t>
  </si>
  <si>
    <t xml:space="preserve">   B.7</t>
  </si>
  <si>
    <t xml:space="preserve">   B.8</t>
  </si>
  <si>
    <t xml:space="preserve">   B.12</t>
  </si>
  <si>
    <t xml:space="preserve">   B.9</t>
  </si>
  <si>
    <t xml:space="preserve">   B.10.1</t>
  </si>
  <si>
    <t>2.4. Uso da renda</t>
  </si>
  <si>
    <t>2.1.2. Alocação
da renda primária</t>
  </si>
  <si>
    <t>1. Produção/
conta externa
de bens e serviços</t>
  </si>
  <si>
    <t>Recursos</t>
  </si>
  <si>
    <t>Variações de passivos e patrimônio líquido</t>
  </si>
  <si>
    <t>S.15
Insti-
tuições
sem fins
de lucro
a serviço
das famílias</t>
  </si>
  <si>
    <t>(1) Para o total da economia, este saldo corresponde ao produto interno bruto (PIB), que é igual ao valor adicionado dos setores institucionais acrescido dos impostos, líquidos de subsídios, sobre produtos. A soma dos setores institucionais difere do total da economia por estarem incluídos, nesta coluna, os impostos sobre produtos. (2) Para o total da economia, o saldo das rendas primárias brutas corresponde à Renda nacional bruta.</t>
  </si>
  <si>
    <t xml:space="preserve">   P.13 </t>
  </si>
  <si>
    <t xml:space="preserve">  Renda de recursos naturais</t>
  </si>
  <si>
    <t xml:space="preserve">  Contribuições sociais efetivas dos empregadores</t>
  </si>
  <si>
    <t xml:space="preserve">    Contribuições sociais imputadas dos empregadores</t>
  </si>
  <si>
    <t xml:space="preserve">  Outros benefícios de seguro social</t>
  </si>
  <si>
    <t xml:space="preserve">   NP </t>
  </si>
  <si>
    <t>S.13
Governo Geral</t>
  </si>
  <si>
    <t>3.2. Conta financeira</t>
  </si>
  <si>
    <t xml:space="preserve">   F</t>
  </si>
  <si>
    <t>Aquisição líquida de ativos financeiros/Aquisição líquida de passivos</t>
  </si>
  <si>
    <t xml:space="preserve">   F.1</t>
  </si>
  <si>
    <t>Ouro monetário e DES</t>
  </si>
  <si>
    <t xml:space="preserve">   F.2</t>
  </si>
  <si>
    <t xml:space="preserve"> Numerário e depósitos</t>
  </si>
  <si>
    <t xml:space="preserve">   F.21</t>
  </si>
  <si>
    <t xml:space="preserve"> Numerário</t>
  </si>
  <si>
    <t xml:space="preserve">   F.22</t>
  </si>
  <si>
    <t xml:space="preserve"> Depósito transferível</t>
  </si>
  <si>
    <t xml:space="preserve">   F.29</t>
  </si>
  <si>
    <t xml:space="preserve"> Outros depósitos</t>
  </si>
  <si>
    <t xml:space="preserve">   F.3</t>
  </si>
  <si>
    <t xml:space="preserve"> Títulos de dívidas</t>
  </si>
  <si>
    <t xml:space="preserve">   F.31</t>
  </si>
  <si>
    <t xml:space="preserve"> Curto prazo</t>
  </si>
  <si>
    <t xml:space="preserve">   F.32</t>
  </si>
  <si>
    <t xml:space="preserve"> Longo prazo</t>
  </si>
  <si>
    <t xml:space="preserve">   F.4</t>
  </si>
  <si>
    <t xml:space="preserve"> Empréstimos</t>
  </si>
  <si>
    <t xml:space="preserve">   F.41</t>
  </si>
  <si>
    <t xml:space="preserve">   F.42</t>
  </si>
  <si>
    <t xml:space="preserve">   F.5</t>
  </si>
  <si>
    <t xml:space="preserve"> Participações de capital e em fundos de investimentos</t>
  </si>
  <si>
    <t xml:space="preserve">   F.51</t>
  </si>
  <si>
    <t xml:space="preserve">   F.511</t>
  </si>
  <si>
    <t xml:space="preserve"> Ações cotadas</t>
  </si>
  <si>
    <t xml:space="preserve">   F.512/19</t>
  </si>
  <si>
    <t xml:space="preserve"> Ações não cotadas e outras participações </t>
  </si>
  <si>
    <t xml:space="preserve">   F.52</t>
  </si>
  <si>
    <t xml:space="preserve"> Participações em fundos de investimentos</t>
  </si>
  <si>
    <t xml:space="preserve">   F.6</t>
  </si>
  <si>
    <t xml:space="preserve">   F.61</t>
  </si>
  <si>
    <t xml:space="preserve"> Reservas técnica de seguros não vida </t>
  </si>
  <si>
    <t xml:space="preserve">   F.62</t>
  </si>
  <si>
    <t xml:space="preserve"> Direitos de seguros de vida e rendas vitalícias </t>
  </si>
  <si>
    <t xml:space="preserve">   F.63</t>
  </si>
  <si>
    <t xml:space="preserve"> Direitos sobre os fundos de pensão </t>
  </si>
  <si>
    <t xml:space="preserve">   F.7</t>
  </si>
  <si>
    <t xml:space="preserve"> Derivativos financeiros </t>
  </si>
  <si>
    <t xml:space="preserve">   F.8</t>
  </si>
  <si>
    <t xml:space="preserve"> Outras contas a receber/pagar</t>
  </si>
  <si>
    <t xml:space="preserve">   F.81</t>
  </si>
  <si>
    <t xml:space="preserve"> Créditos comerciais e adiantamentos</t>
  </si>
  <si>
    <t xml:space="preserve">   F.89</t>
  </si>
  <si>
    <t xml:space="preserve"> Outros</t>
  </si>
  <si>
    <t>Ativos</t>
  </si>
  <si>
    <t>Passivos e patrimônio líquido</t>
  </si>
  <si>
    <t xml:space="preserve">   AF</t>
  </si>
  <si>
    <t>Total de ativos financeiros/passivos</t>
  </si>
  <si>
    <t xml:space="preserve">  A F.1</t>
  </si>
  <si>
    <t xml:space="preserve">  A F.2</t>
  </si>
  <si>
    <t xml:space="preserve">  A F.21</t>
  </si>
  <si>
    <t xml:space="preserve">  A F.22</t>
  </si>
  <si>
    <t xml:space="preserve">  A F.29</t>
  </si>
  <si>
    <t xml:space="preserve">  A F.3</t>
  </si>
  <si>
    <t xml:space="preserve">  A F.31</t>
  </si>
  <si>
    <t xml:space="preserve">  A F.32</t>
  </si>
  <si>
    <t xml:space="preserve">  A F.4</t>
  </si>
  <si>
    <t xml:space="preserve">  A F.41</t>
  </si>
  <si>
    <t xml:space="preserve">  A F.42</t>
  </si>
  <si>
    <t xml:space="preserve">  A F.5</t>
  </si>
  <si>
    <t xml:space="preserve">  A F.51</t>
  </si>
  <si>
    <t xml:space="preserve">  A F.511</t>
  </si>
  <si>
    <t xml:space="preserve">  A F.512/19</t>
  </si>
  <si>
    <t xml:space="preserve">  A F.52</t>
  </si>
  <si>
    <t xml:space="preserve">  A F.6</t>
  </si>
  <si>
    <t xml:space="preserve">  A F.61</t>
  </si>
  <si>
    <t xml:space="preserve">  A F.62</t>
  </si>
  <si>
    <t xml:space="preserve">  A F.63</t>
  </si>
  <si>
    <t xml:space="preserve">  A F.7</t>
  </si>
  <si>
    <t xml:space="preserve">  A F.8</t>
  </si>
  <si>
    <t xml:space="preserve">  A F.81</t>
  </si>
  <si>
    <t xml:space="preserve">  A F.89</t>
  </si>
  <si>
    <t xml:space="preserve">  B F 90</t>
  </si>
  <si>
    <t xml:space="preserve"> Ativos financeiros (+) líquidos de passivos (-)</t>
  </si>
  <si>
    <t>S.14/15
Famílias e Insti-
tuições
sem fins
de lucro
a serviço
das famílias</t>
  </si>
  <si>
    <t>Detalhamento da Conta de Uso da renda</t>
  </si>
  <si>
    <t>2.4.1 Uso
da renda nacional disponível</t>
  </si>
  <si>
    <t xml:space="preserve">  P3</t>
  </si>
  <si>
    <t xml:space="preserve">  P3.1</t>
  </si>
  <si>
    <t>Despesa de consumo final individual</t>
  </si>
  <si>
    <t xml:space="preserve">  P3.2</t>
  </si>
  <si>
    <t>Despesa de consumo final coletiva</t>
  </si>
  <si>
    <t>2.4.2 Uso
da renda nacional disponível ajustada</t>
  </si>
  <si>
    <t xml:space="preserve">   B.7-B.6</t>
  </si>
  <si>
    <t>Ajustamento entre B7 e B6</t>
  </si>
  <si>
    <t xml:space="preserve">  P4</t>
  </si>
  <si>
    <t xml:space="preserve">  P4.1</t>
  </si>
  <si>
    <t>Consumo final efetivo individual</t>
  </si>
  <si>
    <t xml:space="preserve">  P4.2</t>
  </si>
  <si>
    <t>Consumo final efetivo coletivo</t>
  </si>
  <si>
    <t xml:space="preserve">   D.613/614</t>
  </si>
  <si>
    <t xml:space="preserve">    Contribuições sociais efetivas das famílias/empregados e suplemento às contribuições sociais</t>
  </si>
  <si>
    <t xml:space="preserve">  Salários</t>
  </si>
  <si>
    <t xml:space="preserve">   D.43</t>
  </si>
  <si>
    <t>Transações e saldos</t>
  </si>
  <si>
    <t xml:space="preserve">  Lucros reinvestidos de investimento estrangeiro direto</t>
  </si>
  <si>
    <t xml:space="preserve">  Transferências correntes entre unidades do governo geral</t>
  </si>
  <si>
    <t xml:space="preserve">  Cooperação internacional</t>
  </si>
  <si>
    <t xml:space="preserve">   D.441</t>
  </si>
  <si>
    <t xml:space="preserve">   D.442</t>
  </si>
  <si>
    <t xml:space="preserve">   D.443</t>
  </si>
  <si>
    <t xml:space="preserve">     Rendimento de investimentos atribuído a detentores de apólices de seguros</t>
  </si>
  <si>
    <t xml:space="preserve">     Rendimento de investimentos a pagar sobre direitos de pensão</t>
  </si>
  <si>
    <t xml:space="preserve">     Rendimento de investimentos atribuído a acionistas de fundos de investimento</t>
  </si>
  <si>
    <t xml:space="preserve">  Desembolsos por rendas de investimentos</t>
  </si>
  <si>
    <t xml:space="preserve"> Sistemas de seguros, de previdência e regime de garantias padronizadas</t>
  </si>
  <si>
    <t>Renda nacional disponível bruta</t>
  </si>
  <si>
    <t>Ajustamento pela variação dos direitos de pensão</t>
  </si>
  <si>
    <t>3.3. Conta de
patrimônio financeiro inicial</t>
  </si>
  <si>
    <t>3.4. Conta de
patrimônio financeiro final</t>
  </si>
  <si>
    <t>2.1.2. Alocação            da renda primária</t>
  </si>
  <si>
    <t xml:space="preserve"> Rendas distribuídas das empresas</t>
  </si>
  <si>
    <t xml:space="preserve"> Participações de capital  </t>
  </si>
  <si>
    <t>Aquisições líquidas de cessões de ativos não-produzidos</t>
  </si>
  <si>
    <t>Contas econômicas integradas - 2020</t>
  </si>
  <si>
    <t>Setor externo</t>
  </si>
  <si>
    <t>Entrada</t>
  </si>
  <si>
    <t>Saída</t>
  </si>
  <si>
    <t>Check</t>
  </si>
  <si>
    <t>Aquisições líquidas de cessões de ativos não-produzidos // Transferências</t>
  </si>
  <si>
    <t>5 157</t>
  </si>
  <si>
    <t>1 780</t>
  </si>
  <si>
    <t>3 241</t>
  </si>
  <si>
    <t>89 346</t>
  </si>
  <si>
    <t xml:space="preserve">   Produção mercantil</t>
  </si>
  <si>
    <t xml:space="preserve">   Produção não-mercantil</t>
  </si>
  <si>
    <t>Valor adicionado bruto</t>
  </si>
  <si>
    <t xml:space="preserve">   Salários</t>
  </si>
  <si>
    <t xml:space="preserve">   Contribuições sociais dos empregadores</t>
  </si>
  <si>
    <t>Outros impostos, líquidos de subsídios, sobre a produção</t>
  </si>
  <si>
    <t>Rendimento misto bruto</t>
  </si>
  <si>
    <t>Ocupações</t>
  </si>
  <si>
    <t>09 Atividades financeiras, de seguros e serviços relacionados</t>
  </si>
  <si>
    <t>700 903</t>
  </si>
  <si>
    <t>697 374</t>
  </si>
  <si>
    <t>3 529</t>
  </si>
  <si>
    <t>246 353</t>
  </si>
  <si>
    <t>454 550</t>
  </si>
  <si>
    <t>181 285</t>
  </si>
  <si>
    <t>140 274</t>
  </si>
  <si>
    <t>41 011</t>
  </si>
  <si>
    <t>9 262</t>
  </si>
  <si>
    <t>260 762</t>
  </si>
  <si>
    <t>1 410 816</t>
  </si>
  <si>
    <t>Ajustes:</t>
  </si>
  <si>
    <t>Famílias sem VA. Valor todo para empresas não-financeiras e financeiras</t>
  </si>
  <si>
    <t>Setor externo sem pagar ou receber salários. Valores enviados para famílias</t>
  </si>
  <si>
    <t>Famílias sem custo com salários e contribuições sociais. Valores distribuidos para empresas, seguindo proporção observada nas famílias</t>
  </si>
  <si>
    <t>Governo e família não pagam Outros impostos sobre produção</t>
  </si>
  <si>
    <t>Famílias apenas recebem renda de empresas. Não pagam.</t>
  </si>
  <si>
    <t>Empresas apenas pagam renda para outros setores. Sem fluxos intraempresas de lucros.</t>
  </si>
  <si>
    <t>Setor externo apenas recebe lucros, sem saída de setor externo (entrada de K no país)</t>
  </si>
  <si>
    <t>Governo não recebe renda de empresas. Isso é compensado supondo que tudo é dirigido às famílias e elas pagam o governo na forma de IR.</t>
  </si>
  <si>
    <t>Empresas não pagam benefícios sociais. Feito apenas por governo. Isso é compensado com despesa de benefícios das empresas se tornando pagamento de imposto ao governo. Por sua vez, despesas do governo com benefícios é aumentada</t>
  </si>
  <si>
    <t>Outras transferências é assumido que existe apenas saída ou entrada (é calculado o saldo do fluxo)</t>
  </si>
  <si>
    <t>Saldo de Aquisições líquidas de cessões de ativos não-produzidos soma-se a outras transferências</t>
  </si>
  <si>
    <t>Impostos correntes sobre a renda, patrimônio, // Contribuições sociais // Outras transferências</t>
  </si>
  <si>
    <t>Saldo de Outras transferências em benefícios ou impostos</t>
  </si>
  <si>
    <t xml:space="preserve">  Benefícios de seguridade social em numerário // Seguro desemprego, bolsa família</t>
  </si>
  <si>
    <t xml:space="preserve">  Outros benefícios de seguro social // Previdência</t>
  </si>
  <si>
    <t>Governo não produz. Deslocado tudo para empresas não-financeiras. VA, Salários e Contribuições. Equilibrado pelo IR pago pelas empresas (aumenta)</t>
  </si>
  <si>
    <t>Ativo</t>
  </si>
  <si>
    <t>Passivo</t>
  </si>
  <si>
    <t>Valor adicionado bruto ( PIB )</t>
  </si>
  <si>
    <t>Remunerações</t>
  </si>
  <si>
    <t xml:space="preserve">   Contribuições sociais efetivas</t>
  </si>
  <si>
    <t xml:space="preserve">      Previdência oficial /FGTS</t>
  </si>
  <si>
    <t xml:space="preserve">      Previdência privada</t>
  </si>
  <si>
    <t xml:space="preserve">   Contribuições sociais imputadas</t>
  </si>
  <si>
    <t>Excedente operacional bruto e rendimento misto bruto</t>
  </si>
  <si>
    <t xml:space="preserve">   Rendimento misto bruto</t>
  </si>
  <si>
    <t xml:space="preserve">   Excedente operacional bruto (EOB)</t>
  </si>
  <si>
    <t>Valor da produção</t>
  </si>
  <si>
    <t>Fator trabalho (ocupações)</t>
  </si>
  <si>
    <t>Descrição do produto</t>
  </si>
  <si>
    <t>Agropecuária</t>
  </si>
  <si>
    <t>Indústrias extrativas</t>
  </si>
  <si>
    <t>Indústrias de transformação</t>
  </si>
  <si>
    <t>Construção</t>
  </si>
  <si>
    <t>Comércio</t>
  </si>
  <si>
    <t>Transporte, armazenagem e correio</t>
  </si>
  <si>
    <t>Informação e comunicação</t>
  </si>
  <si>
    <t>Atividades financeiras, de seguros e serviços relacionados</t>
  </si>
  <si>
    <t>Atividades imobiliárias</t>
  </si>
  <si>
    <t>Outras atividades de serviços</t>
  </si>
  <si>
    <t>Administração, defesa, saúde e educação públicas e seguridade social</t>
  </si>
  <si>
    <t>Tabela de recursos e usos - 2020 - valores correntes</t>
  </si>
  <si>
    <t>I - Tabela de recursos de bens e serviços</t>
  </si>
  <si>
    <t>Valores correntes em 1 000 000 R$</t>
  </si>
  <si>
    <t>Oferta de bens e serviços</t>
  </si>
  <si>
    <t>Produção das atividades</t>
  </si>
  <si>
    <t>Total
da
economia</t>
  </si>
  <si>
    <t>Impor-
tação 
de
bens e serviços (2)</t>
  </si>
  <si>
    <t>Oferta
total
a preço
de con-
sumidor</t>
  </si>
  <si>
    <t>Margem
de
comércio</t>
  </si>
  <si>
    <t>Margem
de trans-
porte</t>
  </si>
  <si>
    <t>Imposto
de impor-
tação</t>
  </si>
  <si>
    <t>IPI</t>
  </si>
  <si>
    <t>ICMS</t>
  </si>
  <si>
    <t>Outros impostos menos subsídios</t>
  </si>
  <si>
    <t>Total de impostos líquidos de subsídios</t>
  </si>
  <si>
    <t>Oferta
total
a preço
básico</t>
  </si>
  <si>
    <t>Agrope-
cuária</t>
  </si>
  <si>
    <t>Indústrias
de
transfor-
mação</t>
  </si>
  <si>
    <t>Eletricida-
de e gás,
água,
esgoto e
gestão de resíduos</t>
  </si>
  <si>
    <t>Cons-
trução</t>
  </si>
  <si>
    <t>Trans-
porte,
armaze-
nagem
e correio</t>
  </si>
  <si>
    <t>Informação
e comu-
nicação</t>
  </si>
  <si>
    <t>Atividades
financeiras,
de seguros
e serviços
relacio-
nados</t>
  </si>
  <si>
    <t>Ativi-
dades
imobi-
liárias</t>
  </si>
  <si>
    <t>Adminis-
tração, defesa,
saúde e
educação
públicas e
seguridade
social</t>
  </si>
  <si>
    <t>Total
do
produto</t>
  </si>
  <si>
    <t>Eletricidade e gás, água, esgoto e gestão de resíduos</t>
  </si>
  <si>
    <t xml:space="preserve">          Total</t>
  </si>
  <si>
    <t>II - Tabela de usos de bens e serviços</t>
  </si>
  <si>
    <t>Outros impostos</t>
  </si>
  <si>
    <t>Total
de
impostos</t>
  </si>
  <si>
    <t>Consumo intermediário das atividades</t>
  </si>
  <si>
    <t>PIB /
Total da
economia (1)</t>
  </si>
  <si>
    <t>Demanda final</t>
  </si>
  <si>
    <t>De-
manda
total</t>
  </si>
  <si>
    <t>Expor-
tação
de
bens e
serviços (3)</t>
  </si>
  <si>
    <t>Consu-
mo do
governo</t>
  </si>
  <si>
    <t>Consu-
mo das
ISFLSF</t>
  </si>
  <si>
    <t>Consu-
mo das 
famílias</t>
  </si>
  <si>
    <t>Forma-
ção bruta
de capi-
tal fixo</t>
  </si>
  <si>
    <t>Varia-
ção de
estoque</t>
  </si>
  <si>
    <t>De-
manda
final</t>
  </si>
  <si>
    <t>Componentes do valor adicionado</t>
  </si>
  <si>
    <t>TABELA DE RECURSOS E USOS</t>
  </si>
  <si>
    <t>Oferta 
     A        =</t>
  </si>
  <si>
    <t>Produção
  A1       +</t>
  </si>
  <si>
    <t>Importação
A2</t>
  </si>
  <si>
    <t xml:space="preserve">
Oferta 
     A        =</t>
  </si>
  <si>
    <t>Consumo
interme-
diário
    B1       +</t>
  </si>
  <si>
    <t xml:space="preserve">
Demanda
final
B2</t>
  </si>
  <si>
    <t>Impostos líquidos de subsídios sobre a produção e a importação</t>
  </si>
  <si>
    <t xml:space="preserve">   Impostos sobre produtos</t>
  </si>
  <si>
    <t xml:space="preserve">   Subsídios sobre produtos</t>
  </si>
  <si>
    <t xml:space="preserve">   Outros impostos sobre a produção</t>
  </si>
  <si>
    <t>Componentes do
valor adicionado
C</t>
  </si>
  <si>
    <t xml:space="preserve">   Outros subsídios à produção</t>
  </si>
  <si>
    <t>(1) O PIB corresponde à soma do valor adicionado a preços básicos das atividades econômicas mais o total dos impostos, líquido de subsídios, sobre produtos. (2) Importação de bens e serviços líquida de ajuste CIF/FOB. (3) Exportação de bens e serviços acrescida de ajuste CIF/FOB.</t>
  </si>
  <si>
    <t>VA preço mercado</t>
  </si>
  <si>
    <t>VA preço básico</t>
  </si>
  <si>
    <t xml:space="preserve">    Contribuições sociais inputadas</t>
  </si>
  <si>
    <t>VA - salários e contr</t>
  </si>
  <si>
    <t>Ajustes</t>
  </si>
  <si>
    <t>VA, salários e contribuições de famílias e governo para empresas não financeiras e financeiras</t>
  </si>
  <si>
    <t>Compensado c/ empresas pagando + rendas para famílias</t>
  </si>
  <si>
    <t>Compensado governo com pagamento de impostos das empresas</t>
  </si>
  <si>
    <t>Rendas das empresas para governo dirigido para famílias. Compensado com aumento de tributos das famílias pago para governo</t>
  </si>
  <si>
    <t>Outras transferências é considerado apenas o saldo</t>
  </si>
  <si>
    <t>Aquisições líquidas de cessões de ativos em outras transferências</t>
  </si>
  <si>
    <t>Sem impostos sobre prod para governo e famílioas</t>
  </si>
  <si>
    <t>Ajustamento direito de pensão dentro de benegício previdência</t>
  </si>
  <si>
    <t>Alocação secundária</t>
  </si>
  <si>
    <t>Usos da renda</t>
  </si>
  <si>
    <t>Tabela de Usos e Recursos - específico por setor - geração de renda</t>
  </si>
  <si>
    <t xml:space="preserve">Alocação primária do excedente </t>
  </si>
  <si>
    <t>Entrada (Importações)</t>
  </si>
  <si>
    <t>Saída (Exportações)</t>
  </si>
  <si>
    <t>Ci</t>
  </si>
  <si>
    <t>C</t>
  </si>
  <si>
    <t>Demanda induzida</t>
  </si>
  <si>
    <t>Demanda autônoma</t>
  </si>
  <si>
    <t>De-
manda
TOTAL</t>
  </si>
  <si>
    <t>Saldo Bal.Comercial e Serv</t>
  </si>
  <si>
    <t>S</t>
  </si>
  <si>
    <t>Demanda INDUZIDA</t>
  </si>
  <si>
    <t>Correto</t>
  </si>
  <si>
    <t>Multiplicador</t>
  </si>
  <si>
    <t>Por %</t>
  </si>
  <si>
    <t>A</t>
  </si>
  <si>
    <t>Y</t>
  </si>
  <si>
    <t>c</t>
  </si>
  <si>
    <t>Consumo resolvido supondo consumo como proporção da demanda total. Método tradicional de INPUT-OUTPUT. Questão: % não é constante em relação à renda da família.</t>
  </si>
  <si>
    <t>Demanda FINAL</t>
  </si>
  <si>
    <t>Demanda
TOTAL 1</t>
  </si>
  <si>
    <t>Demanda
TOTAL 2</t>
  </si>
  <si>
    <t>Consumo resolvido supondo uma proporão da renda. Preciso resolver por método iterativo, até que Demanda total 1 = Demanda total 2. Célula laranja precisa ser 0! Aplicar solver sobre o valor do consumo inicial</t>
  </si>
  <si>
    <t>Consu-
mo das 
famílias INICIAL</t>
  </si>
  <si>
    <t>Saldo Governo</t>
  </si>
  <si>
    <t>Original resumido</t>
  </si>
  <si>
    <t>Ajustado</t>
  </si>
  <si>
    <t xml:space="preserve"> Títulos de dívidas + Empréstimos</t>
  </si>
  <si>
    <t>Soma pagamentos juros</t>
  </si>
  <si>
    <t>Ajustado 2</t>
  </si>
  <si>
    <t>SALDO</t>
  </si>
  <si>
    <t>Juros</t>
  </si>
  <si>
    <t>SALDO + Saldo</t>
  </si>
  <si>
    <t>Soma  Títulos de dívidas + Empréstimos</t>
  </si>
  <si>
    <t>Soma pagamento distri. Empresas</t>
  </si>
  <si>
    <t>Taxa de juros - Renda/Estoque</t>
  </si>
  <si>
    <t>% fluxo renda sobre o total da renda</t>
  </si>
  <si>
    <t>Se estoque de dívida % a renda</t>
  </si>
  <si>
    <t>Household</t>
  </si>
  <si>
    <t>Gov</t>
  </si>
  <si>
    <t>ExtSector</t>
  </si>
  <si>
    <t>Firms</t>
  </si>
  <si>
    <t>Ffirms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</si>
</sst>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&quot;R$&quot;#,##0_);\(&quot;R$&quot;#,##0\)"/>
    <numFmt numFmtId="166" formatCode="_(* #,##0_);_(* \(#,##0\);_(* &quot;-&quot;??_);_(@_)"/>
    <numFmt numFmtId="167" formatCode="###\ ###\ ###;\(\-\)###\ ###\ ###"/>
    <numFmt numFmtId="168" formatCode="####"/>
    <numFmt numFmtId="169" formatCode="###\ ###\ ###\ \ \ \ \ \ \ \ \ \ ;\(\-\)###\ ###\ ###\ \ \ \ \ \ \ \ \ \ "/>
    <numFmt numFmtId="170" formatCode="###\ ###\ ###\ \ \ \ \ \ \ \ \ \ ;\(\-\)###\ ###\ ###\ \ \ \ "/>
    <numFmt numFmtId="171" formatCode="&quot;Cr$&quot;#,##0_);[Red]\(&quot;Cr$&quot;#,##0\)"/>
    <numFmt numFmtId="172" formatCode="#\ ###\ ###\ ##0;\ \(\-\)\ #\ ###\ ###\ ##0"/>
    <numFmt numFmtId="173" formatCode="#\ ###\ ###\ ##0,;\ \(\-\)\ #\ ###\ ###\ ##0,"/>
    <numFmt numFmtId="174" formatCode="#\ ###\ ###\ ###,;\ \(\-\)\ #\ ###\ ###\ ###,"/>
    <numFmt numFmtId="175" formatCode="0.000%"/>
  </numFmts>
  <fonts count="37">
    <font>
      <sz val="6"/>
      <name val="Arial"/>
      <family val="2"/>
    </font>
    <font>
      <sz val="10"/>
      <name val="Arial"/>
      <family val="2"/>
    </font>
    <font>
      <sz val="6"/>
      <name val="Arial"/>
      <family val="2"/>
    </font>
    <font>
      <sz val="6"/>
      <color indexed="8"/>
      <name val="Arial"/>
      <family val="2"/>
    </font>
    <font>
      <sz val="10"/>
      <name val="Arial"/>
      <family val="2"/>
    </font>
    <font>
      <sz val="9"/>
      <name val="SWISS"/>
    </font>
    <font>
      <b/>
      <sz val="6"/>
      <color indexed="8"/>
      <name val="Univers 55"/>
      <family val="2"/>
    </font>
    <font>
      <sz val="6"/>
      <color indexed="8"/>
      <name val="Univers 55"/>
      <family val="2"/>
    </font>
    <font>
      <sz val="6"/>
      <name val="Univers 55"/>
      <family val="2"/>
    </font>
    <font>
      <b/>
      <sz val="6"/>
      <color indexed="8"/>
      <name val="Univers 45 Light"/>
      <family val="2"/>
    </font>
    <font>
      <b/>
      <sz val="6"/>
      <name val="Univers 45 Light"/>
      <family val="2"/>
    </font>
    <font>
      <b/>
      <sz val="6"/>
      <name val="Univers 55"/>
      <family val="2"/>
    </font>
    <font>
      <sz val="6"/>
      <name val="Univers 45 Light"/>
    </font>
    <font>
      <sz val="6"/>
      <color indexed="8"/>
      <name val="Univers 55"/>
    </font>
    <font>
      <b/>
      <sz val="6"/>
      <color indexed="8"/>
      <name val="Univers 55"/>
    </font>
    <font>
      <sz val="6"/>
      <name val="Univers 55"/>
    </font>
    <font>
      <b/>
      <sz val="8"/>
      <color indexed="8"/>
      <name val="Univers LT Std 45 Light"/>
      <family val="2"/>
    </font>
    <font>
      <b/>
      <sz val="8"/>
      <color indexed="8"/>
      <name val="Univers 45 Light"/>
      <family val="2"/>
    </font>
    <font>
      <b/>
      <sz val="9"/>
      <color indexed="8"/>
      <name val="Univers 45 Light"/>
      <family val="2"/>
    </font>
    <font>
      <sz val="6"/>
      <color indexed="52"/>
      <name val="Univers 55"/>
    </font>
    <font>
      <b/>
      <sz val="6"/>
      <name val="Univers 55"/>
    </font>
    <font>
      <b/>
      <sz val="6"/>
      <name val="Arial"/>
      <family val="2"/>
    </font>
    <font>
      <sz val="6"/>
      <name val="Univers LT Std 55"/>
      <family val="2"/>
    </font>
    <font>
      <b/>
      <sz val="6"/>
      <name val="Univers LT Std 45 Light"/>
      <family val="2"/>
    </font>
    <font>
      <b/>
      <sz val="8"/>
      <name val="Univers LT Std 45 Light"/>
      <family val="2"/>
    </font>
    <font>
      <sz val="6"/>
      <name val="Univers"/>
      <family val="2"/>
    </font>
    <font>
      <b/>
      <sz val="7"/>
      <name val="Univers 45 Light"/>
      <family val="2"/>
    </font>
    <font>
      <sz val="5.5"/>
      <name val="Univers 45 Light"/>
      <family val="2"/>
    </font>
    <font>
      <sz val="10"/>
      <name val="Univers 55"/>
      <family val="2"/>
    </font>
    <font>
      <sz val="5.5"/>
      <name val="Univers 55"/>
      <family val="2"/>
    </font>
    <font>
      <sz val="6"/>
      <color indexed="9"/>
      <name val="Univers 55"/>
      <family val="2"/>
    </font>
    <font>
      <sz val="6"/>
      <name val="Univers 45 Light"/>
      <family val="2"/>
    </font>
    <font>
      <sz val="5.5"/>
      <color indexed="9"/>
      <name val="Univers 55"/>
      <family val="2"/>
    </font>
    <font>
      <b/>
      <sz val="6"/>
      <color indexed="9"/>
      <name val="Univers 55"/>
    </font>
    <font>
      <b/>
      <sz val="10"/>
      <name val="Univers 55"/>
    </font>
    <font>
      <b/>
      <sz val="6"/>
      <color theme="1"/>
      <name val="Univers 55"/>
    </font>
    <font>
      <b/>
      <sz val="12"/>
      <color indexed="9"/>
      <name val="Univers 55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3E3E3"/>
        <bgColor rgb="FF000000"/>
      </patternFill>
    </fill>
    <fill>
      <patternFill patternType="solid">
        <fgColor indexed="30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double">
        <color indexed="3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31"/>
      </right>
      <top style="thin">
        <color indexed="31"/>
      </top>
      <bottom/>
      <diagonal/>
    </border>
    <border>
      <left/>
      <right style="thin">
        <color indexed="31"/>
      </right>
      <top/>
      <bottom style="double">
        <color indexed="31"/>
      </bottom>
      <diagonal/>
    </border>
    <border>
      <left/>
      <right/>
      <top style="double">
        <color indexed="31"/>
      </top>
      <bottom/>
      <diagonal/>
    </border>
    <border>
      <left style="thin">
        <color indexed="31"/>
      </left>
      <right/>
      <top style="double">
        <color indexed="31"/>
      </top>
      <bottom/>
      <diagonal/>
    </border>
    <border>
      <left/>
      <right style="thin">
        <color indexed="31"/>
      </right>
      <top style="double">
        <color indexed="31"/>
      </top>
      <bottom/>
      <diagonal/>
    </border>
    <border>
      <left style="thin">
        <color indexed="31"/>
      </left>
      <right/>
      <top/>
      <bottom/>
      <diagonal/>
    </border>
    <border>
      <left/>
      <right style="thin">
        <color indexed="31"/>
      </right>
      <top/>
      <bottom/>
      <diagonal/>
    </border>
    <border>
      <left/>
      <right/>
      <top style="double">
        <color indexed="25"/>
      </top>
      <bottom/>
      <diagonal/>
    </border>
    <border>
      <left style="thin">
        <color indexed="31"/>
      </left>
      <right/>
      <top style="thin">
        <color indexed="31"/>
      </top>
      <bottom/>
      <diagonal/>
    </border>
    <border>
      <left style="thin">
        <color indexed="31"/>
      </left>
      <right/>
      <top/>
      <bottom style="double">
        <color indexed="31"/>
      </bottom>
      <diagonal/>
    </border>
    <border>
      <left/>
      <right/>
      <top style="thin">
        <color indexed="31"/>
      </top>
      <bottom/>
      <diagonal/>
    </border>
    <border>
      <left/>
      <right/>
      <top/>
      <bottom style="double">
        <color indexed="30"/>
      </bottom>
      <diagonal/>
    </border>
    <border>
      <left style="thin">
        <color indexed="31"/>
      </left>
      <right/>
      <top style="double">
        <color indexed="31"/>
      </top>
      <bottom style="thin">
        <color indexed="31"/>
      </bottom>
      <diagonal/>
    </border>
    <border>
      <left/>
      <right style="thin">
        <color indexed="31"/>
      </right>
      <top style="double">
        <color indexed="31"/>
      </top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/>
      <top/>
      <bottom style="thin">
        <color indexed="31"/>
      </bottom>
      <diagonal/>
    </border>
    <border>
      <left/>
      <right style="thin">
        <color indexed="31"/>
      </right>
      <top/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theme="9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9"/>
      </right>
      <top/>
      <bottom/>
      <diagonal/>
    </border>
    <border>
      <left/>
      <right style="thick">
        <color indexed="9"/>
      </right>
      <top/>
      <bottom/>
      <diagonal/>
    </border>
    <border>
      <left style="thick">
        <color indexed="9"/>
      </left>
      <right/>
      <top/>
      <bottom style="thick">
        <color indexed="9"/>
      </bottom>
      <diagonal/>
    </border>
    <border>
      <left/>
      <right/>
      <top/>
      <bottom style="thick">
        <color indexed="9"/>
      </bottom>
      <diagonal/>
    </border>
    <border>
      <left/>
      <right style="thick">
        <color indexed="9"/>
      </right>
      <top/>
      <bottom style="thick">
        <color indexed="9"/>
      </bottom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 style="thick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ck">
        <color indexed="9"/>
      </left>
      <right style="thick">
        <color indexed="9"/>
      </right>
      <top/>
      <bottom style="thick">
        <color indexed="9"/>
      </bottom>
      <diagonal/>
    </border>
    <border>
      <left/>
      <right/>
      <top/>
      <bottom style="hair">
        <color indexed="64"/>
      </bottom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 style="thick">
        <color indexed="9"/>
      </top>
      <bottom/>
      <diagonal/>
    </border>
    <border>
      <left style="thick">
        <color indexed="22"/>
      </left>
      <right/>
      <top style="thick">
        <color indexed="22"/>
      </top>
      <bottom/>
      <diagonal/>
    </border>
    <border>
      <left/>
      <right/>
      <top style="thick">
        <color indexed="22"/>
      </top>
      <bottom/>
      <diagonal/>
    </border>
    <border>
      <left/>
      <right style="thick">
        <color indexed="22"/>
      </right>
      <top style="thick">
        <color indexed="22"/>
      </top>
      <bottom/>
      <diagonal/>
    </border>
    <border>
      <left style="thick">
        <color indexed="22"/>
      </left>
      <right/>
      <top/>
      <bottom/>
      <diagonal/>
    </border>
    <border>
      <left/>
      <right style="thick">
        <color indexed="22"/>
      </right>
      <top/>
      <bottom/>
      <diagonal/>
    </border>
    <border>
      <left/>
      <right style="thick">
        <color indexed="27"/>
      </right>
      <top/>
      <bottom/>
      <diagonal/>
    </border>
    <border>
      <left style="thick">
        <color indexed="27"/>
      </left>
      <right style="thick">
        <color indexed="22"/>
      </right>
      <top/>
      <bottom/>
      <diagonal/>
    </border>
    <border>
      <left style="thick">
        <color indexed="22"/>
      </left>
      <right/>
      <top/>
      <bottom style="thick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 style="thick">
        <color indexed="22"/>
      </right>
      <top/>
      <bottom style="thick">
        <color indexed="22"/>
      </bottom>
      <diagonal/>
    </border>
  </borders>
  <cellStyleXfs count="8">
    <xf numFmtId="0" fontId="0" fillId="0" borderId="0" applyProtection="0"/>
    <xf numFmtId="0" fontId="3" fillId="0" borderId="0" applyNumberFormat="0" applyFill="0" applyBorder="0" applyAlignment="0"/>
    <xf numFmtId="0" fontId="2" fillId="0" borderId="0" applyNumberFormat="0" applyFill="0" applyBorder="0" applyAlignment="0"/>
    <xf numFmtId="1" fontId="5" fillId="2" borderId="0" applyNumberFormat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449">
    <xf numFmtId="0" fontId="0" fillId="0" borderId="0" xfId="0"/>
    <xf numFmtId="0" fontId="1" fillId="0" borderId="2" xfId="4" applyBorder="1"/>
    <xf numFmtId="0" fontId="1" fillId="0" borderId="3" xfId="4" applyBorder="1"/>
    <xf numFmtId="0" fontId="1" fillId="0" borderId="4" xfId="4" applyBorder="1"/>
    <xf numFmtId="0" fontId="1" fillId="0" borderId="5" xfId="4" applyBorder="1"/>
    <xf numFmtId="0" fontId="1" fillId="0" borderId="6" xfId="4" applyBorder="1"/>
    <xf numFmtId="0" fontId="1" fillId="0" borderId="7" xfId="4" applyBorder="1"/>
    <xf numFmtId="0" fontId="4" fillId="0" borderId="0" xfId="0" applyFont="1"/>
    <xf numFmtId="0" fontId="4" fillId="0" borderId="0" xfId="0" quotePrefix="1" applyFont="1"/>
    <xf numFmtId="167" fontId="7" fillId="0" borderId="0" xfId="1" applyNumberFormat="1" applyFont="1" applyBorder="1"/>
    <xf numFmtId="167" fontId="7" fillId="0" borderId="0" xfId="1" applyNumberFormat="1" applyFont="1" applyBorder="1" applyAlignment="1">
      <alignment horizontal="right"/>
    </xf>
    <xf numFmtId="167" fontId="7" fillId="0" borderId="0" xfId="1" applyNumberFormat="1" applyFont="1"/>
    <xf numFmtId="167" fontId="7" fillId="0" borderId="0" xfId="1" applyNumberFormat="1" applyFont="1" applyFill="1" applyBorder="1"/>
    <xf numFmtId="167" fontId="7" fillId="0" borderId="0" xfId="1" applyNumberFormat="1" applyFont="1" applyFill="1" applyBorder="1" applyAlignment="1">
      <alignment horizontal="center" vertical="justify"/>
    </xf>
    <xf numFmtId="167" fontId="7" fillId="0" borderId="8" xfId="1" applyNumberFormat="1" applyFont="1" applyBorder="1"/>
    <xf numFmtId="167" fontId="7" fillId="0" borderId="1" xfId="1" applyNumberFormat="1" applyFont="1" applyFill="1" applyBorder="1" applyAlignment="1">
      <alignment horizontal="center" vertical="justify"/>
    </xf>
    <xf numFmtId="167" fontId="7" fillId="0" borderId="1" xfId="1" applyNumberFormat="1" applyFont="1" applyFill="1" applyBorder="1"/>
    <xf numFmtId="167" fontId="7" fillId="0" borderId="9" xfId="1" applyNumberFormat="1" applyFont="1" applyFill="1" applyBorder="1"/>
    <xf numFmtId="167" fontId="7" fillId="0" borderId="10" xfId="1" applyNumberFormat="1" applyFont="1" applyFill="1" applyBorder="1" applyAlignment="1"/>
    <xf numFmtId="167" fontId="8" fillId="0" borderId="11" xfId="1" applyNumberFormat="1" applyFont="1" applyFill="1" applyBorder="1" applyAlignment="1"/>
    <xf numFmtId="167" fontId="8" fillId="0" borderId="12" xfId="1" applyNumberFormat="1" applyFont="1" applyFill="1" applyBorder="1" applyAlignment="1">
      <alignment horizontal="left" wrapText="1"/>
    </xf>
    <xf numFmtId="167" fontId="7" fillId="0" borderId="0" xfId="1" applyNumberFormat="1" applyFont="1" applyFill="1" applyBorder="1" applyAlignment="1">
      <alignment vertical="top"/>
    </xf>
    <xf numFmtId="167" fontId="8" fillId="0" borderId="13" xfId="1" applyNumberFormat="1" applyFont="1" applyFill="1" applyBorder="1" applyAlignment="1">
      <alignment vertical="top"/>
    </xf>
    <xf numFmtId="167" fontId="8" fillId="0" borderId="14" xfId="1" applyNumberFormat="1" applyFont="1" applyFill="1" applyBorder="1" applyAlignment="1">
      <alignment horizontal="left" vertical="top" wrapText="1"/>
    </xf>
    <xf numFmtId="167" fontId="8" fillId="0" borderId="0" xfId="1" applyNumberFormat="1" applyFont="1" applyFill="1" applyBorder="1" applyAlignment="1">
      <alignment vertical="top"/>
    </xf>
    <xf numFmtId="167" fontId="7" fillId="0" borderId="0" xfId="1" applyNumberFormat="1" applyFont="1" applyFill="1"/>
    <xf numFmtId="167" fontId="7" fillId="0" borderId="1" xfId="1" applyNumberFormat="1" applyFont="1" applyFill="1" applyBorder="1" applyAlignment="1">
      <alignment vertical="top"/>
    </xf>
    <xf numFmtId="167" fontId="7" fillId="0" borderId="10" xfId="1" applyNumberFormat="1" applyFont="1" applyFill="1" applyBorder="1" applyAlignment="1">
      <alignment vertical="top"/>
    </xf>
    <xf numFmtId="167" fontId="8" fillId="0" borderId="13" xfId="1" applyNumberFormat="1" applyFont="1" applyFill="1" applyBorder="1" applyAlignment="1"/>
    <xf numFmtId="167" fontId="8" fillId="0" borderId="14" xfId="1" applyNumberFormat="1" applyFont="1" applyFill="1" applyBorder="1" applyAlignment="1">
      <alignment horizontal="left" wrapText="1"/>
    </xf>
    <xf numFmtId="167" fontId="7" fillId="0" borderId="13" xfId="1" applyNumberFormat="1" applyFont="1" applyFill="1" applyBorder="1" applyAlignment="1">
      <alignment vertical="top"/>
    </xf>
    <xf numFmtId="167" fontId="8" fillId="0" borderId="0" xfId="1" applyNumberFormat="1" applyFont="1" applyFill="1" applyBorder="1" applyAlignment="1"/>
    <xf numFmtId="167" fontId="7" fillId="0" borderId="0" xfId="1" applyNumberFormat="1" applyFont="1" applyFill="1" applyBorder="1" applyAlignment="1"/>
    <xf numFmtId="167" fontId="8" fillId="0" borderId="15" xfId="1" applyNumberFormat="1" applyFont="1" applyFill="1" applyBorder="1" applyAlignment="1">
      <alignment vertical="top"/>
    </xf>
    <xf numFmtId="167" fontId="8" fillId="0" borderId="1" xfId="1" applyNumberFormat="1" applyFont="1" applyFill="1" applyBorder="1" applyAlignment="1">
      <alignment vertical="top"/>
    </xf>
    <xf numFmtId="167" fontId="8" fillId="0" borderId="13" xfId="1" applyNumberFormat="1" applyFont="1" applyFill="1" applyBorder="1" applyAlignment="1">
      <alignment horizontal="left" vertical="top"/>
    </xf>
    <xf numFmtId="167" fontId="8" fillId="0" borderId="0" xfId="1" quotePrefix="1" applyNumberFormat="1" applyFont="1" applyFill="1" applyBorder="1" applyAlignment="1">
      <alignment horizontal="left" vertical="top"/>
    </xf>
    <xf numFmtId="167" fontId="8" fillId="0" borderId="0" xfId="1" applyNumberFormat="1" applyFont="1" applyFill="1" applyBorder="1" applyAlignment="1">
      <alignment horizontal="left" vertical="top" wrapText="1"/>
    </xf>
    <xf numFmtId="167" fontId="7" fillId="0" borderId="14" xfId="1" applyNumberFormat="1" applyFont="1" applyBorder="1"/>
    <xf numFmtId="167" fontId="7" fillId="0" borderId="1" xfId="1" quotePrefix="1" applyNumberFormat="1" applyFont="1" applyFill="1" applyBorder="1" applyAlignment="1">
      <alignment horizontal="left" vertical="top"/>
    </xf>
    <xf numFmtId="167" fontId="8" fillId="0" borderId="1" xfId="1" applyNumberFormat="1" applyFont="1" applyFill="1" applyBorder="1" applyAlignment="1">
      <alignment horizontal="left" vertical="top" wrapText="1"/>
    </xf>
    <xf numFmtId="167" fontId="9" fillId="0" borderId="16" xfId="1" applyNumberFormat="1" applyFont="1" applyFill="1" applyBorder="1"/>
    <xf numFmtId="167" fontId="9" fillId="0" borderId="17" xfId="1" applyNumberFormat="1" applyFont="1" applyFill="1" applyBorder="1" applyAlignment="1">
      <alignment vertical="top"/>
    </xf>
    <xf numFmtId="167" fontId="9" fillId="0" borderId="13" xfId="1" applyNumberFormat="1" applyFont="1" applyFill="1" applyBorder="1"/>
    <xf numFmtId="167" fontId="9" fillId="0" borderId="17" xfId="1" applyNumberFormat="1" applyFont="1" applyFill="1" applyBorder="1" applyAlignment="1">
      <alignment horizontal="left" vertical="top"/>
    </xf>
    <xf numFmtId="167" fontId="10" fillId="0" borderId="13" xfId="1" applyNumberFormat="1" applyFont="1" applyFill="1" applyBorder="1" applyAlignment="1">
      <alignment vertical="top"/>
    </xf>
    <xf numFmtId="167" fontId="10" fillId="0" borderId="14" xfId="1" applyNumberFormat="1" applyFont="1" applyFill="1" applyBorder="1" applyAlignment="1">
      <alignment horizontal="left" vertical="top" wrapText="1"/>
    </xf>
    <xf numFmtId="167" fontId="10" fillId="0" borderId="13" xfId="1" applyNumberFormat="1" applyFont="1" applyFill="1" applyBorder="1" applyAlignment="1">
      <alignment horizontal="left" vertical="top"/>
    </xf>
    <xf numFmtId="167" fontId="10" fillId="0" borderId="17" xfId="1" applyNumberFormat="1" applyFont="1" applyFill="1" applyBorder="1" applyAlignment="1">
      <alignment horizontal="left" vertical="top"/>
    </xf>
    <xf numFmtId="167" fontId="10" fillId="0" borderId="9" xfId="1" applyNumberFormat="1" applyFont="1" applyFill="1" applyBorder="1" applyAlignment="1">
      <alignment horizontal="left" vertical="top" wrapText="1"/>
    </xf>
    <xf numFmtId="167" fontId="10" fillId="0" borderId="11" xfId="1" applyNumberFormat="1" applyFont="1" applyFill="1" applyBorder="1" applyAlignment="1">
      <alignment horizontal="left"/>
    </xf>
    <xf numFmtId="167" fontId="10" fillId="0" borderId="12" xfId="1" applyNumberFormat="1" applyFont="1" applyFill="1" applyBorder="1" applyAlignment="1">
      <alignment horizontal="left" wrapText="1"/>
    </xf>
    <xf numFmtId="167" fontId="8" fillId="0" borderId="14" xfId="3" applyNumberFormat="1" applyFont="1" applyFill="1" applyBorder="1"/>
    <xf numFmtId="167" fontId="8" fillId="0" borderId="0" xfId="0" applyNumberFormat="1" applyFont="1"/>
    <xf numFmtId="0" fontId="8" fillId="0" borderId="0" xfId="0" applyFont="1"/>
    <xf numFmtId="167" fontId="9" fillId="0" borderId="18" xfId="1" applyNumberFormat="1" applyFont="1" applyFill="1" applyBorder="1"/>
    <xf numFmtId="167" fontId="9" fillId="0" borderId="1" xfId="1" applyNumberFormat="1" applyFont="1" applyFill="1" applyBorder="1" applyAlignment="1">
      <alignment vertical="top"/>
    </xf>
    <xf numFmtId="167" fontId="9" fillId="0" borderId="10" xfId="1" applyNumberFormat="1" applyFont="1" applyFill="1" applyBorder="1"/>
    <xf numFmtId="167" fontId="9" fillId="0" borderId="1" xfId="1" applyNumberFormat="1" applyFont="1" applyFill="1" applyBorder="1" applyAlignment="1">
      <alignment horizontal="left" vertical="top"/>
    </xf>
    <xf numFmtId="167" fontId="6" fillId="0" borderId="0" xfId="1" applyNumberFormat="1" applyFont="1" applyFill="1" applyBorder="1" applyAlignment="1">
      <alignment vertical="top"/>
    </xf>
    <xf numFmtId="167" fontId="11" fillId="0" borderId="0" xfId="1" applyNumberFormat="1" applyFont="1" applyFill="1" applyBorder="1" applyAlignment="1">
      <alignment vertical="top"/>
    </xf>
    <xf numFmtId="167" fontId="6" fillId="0" borderId="10" xfId="1" applyNumberFormat="1" applyFont="1" applyFill="1" applyBorder="1" applyAlignment="1">
      <alignment vertical="top"/>
    </xf>
    <xf numFmtId="167" fontId="6" fillId="0" borderId="0" xfId="1" applyNumberFormat="1" applyFont="1"/>
    <xf numFmtId="167" fontId="6" fillId="0" borderId="1" xfId="1" applyNumberFormat="1" applyFont="1" applyFill="1" applyBorder="1" applyAlignment="1">
      <alignment vertical="top"/>
    </xf>
    <xf numFmtId="167" fontId="6" fillId="0" borderId="13" xfId="1" applyNumberFormat="1" applyFont="1" applyFill="1" applyBorder="1" applyAlignment="1">
      <alignment vertical="top"/>
    </xf>
    <xf numFmtId="167" fontId="11" fillId="0" borderId="0" xfId="1" applyNumberFormat="1" applyFont="1" applyFill="1" applyBorder="1" applyAlignment="1"/>
    <xf numFmtId="167" fontId="6" fillId="0" borderId="0" xfId="1" applyNumberFormat="1" applyFont="1" applyFill="1" applyBorder="1" applyAlignment="1"/>
    <xf numFmtId="167" fontId="6" fillId="0" borderId="19" xfId="1" applyNumberFormat="1" applyFont="1" applyFill="1" applyBorder="1" applyAlignment="1">
      <alignment vertical="top"/>
    </xf>
    <xf numFmtId="167" fontId="6" fillId="0" borderId="10" xfId="1" applyNumberFormat="1" applyFont="1" applyFill="1" applyBorder="1" applyAlignment="1"/>
    <xf numFmtId="167" fontId="11" fillId="0" borderId="1" xfId="1" applyNumberFormat="1" applyFont="1" applyFill="1" applyBorder="1" applyAlignment="1">
      <alignment vertical="top"/>
    </xf>
    <xf numFmtId="167" fontId="11" fillId="0" borderId="10" xfId="1" applyNumberFormat="1" applyFont="1" applyFill="1" applyBorder="1" applyAlignment="1">
      <alignment vertical="top"/>
    </xf>
    <xf numFmtId="167" fontId="11" fillId="0" borderId="10" xfId="1" applyNumberFormat="1" applyFont="1" applyFill="1" applyBorder="1" applyAlignment="1"/>
    <xf numFmtId="167" fontId="7" fillId="0" borderId="20" xfId="1" applyNumberFormat="1" applyFont="1" applyBorder="1"/>
    <xf numFmtId="167" fontId="7" fillId="3" borderId="0" xfId="1" applyNumberFormat="1" applyFont="1" applyFill="1"/>
    <xf numFmtId="167" fontId="7" fillId="0" borderId="21" xfId="1" applyNumberFormat="1" applyFont="1" applyBorder="1"/>
    <xf numFmtId="167" fontId="8" fillId="3" borderId="0" xfId="0" applyNumberFormat="1" applyFont="1" applyFill="1"/>
    <xf numFmtId="0" fontId="8" fillId="3" borderId="0" xfId="0" applyFont="1" applyFill="1"/>
    <xf numFmtId="167" fontId="7" fillId="0" borderId="0" xfId="1" applyNumberFormat="1" applyFont="1" applyFill="1" applyBorder="1" applyAlignment="1">
      <alignment horizontal="center" vertical="center"/>
    </xf>
    <xf numFmtId="167" fontId="7" fillId="0" borderId="1" xfId="1" applyNumberFormat="1" applyFont="1" applyFill="1" applyBorder="1" applyAlignment="1">
      <alignment horizontal="center" vertical="center"/>
    </xf>
    <xf numFmtId="167" fontId="13" fillId="0" borderId="1" xfId="1" applyNumberFormat="1" applyFont="1" applyFill="1" applyBorder="1" applyAlignment="1">
      <alignment vertical="top"/>
    </xf>
    <xf numFmtId="167" fontId="15" fillId="0" borderId="1" xfId="1" applyNumberFormat="1" applyFont="1" applyFill="1" applyBorder="1" applyAlignment="1">
      <alignment vertical="top"/>
    </xf>
    <xf numFmtId="167" fontId="14" fillId="0" borderId="0" xfId="1" applyNumberFormat="1" applyFont="1" applyFill="1" applyBorder="1" applyAlignment="1">
      <alignment vertical="top"/>
    </xf>
    <xf numFmtId="167" fontId="13" fillId="0" borderId="0" xfId="1" applyNumberFormat="1" applyFont="1" applyFill="1" applyBorder="1" applyAlignment="1">
      <alignment vertical="top"/>
    </xf>
    <xf numFmtId="167" fontId="6" fillId="0" borderId="1" xfId="1" applyNumberFormat="1" applyFont="1" applyFill="1" applyBorder="1" applyAlignment="1">
      <alignment horizontal="center" vertical="top"/>
    </xf>
    <xf numFmtId="167" fontId="12" fillId="0" borderId="13" xfId="1" applyNumberFormat="1" applyFont="1" applyFill="1" applyBorder="1" applyAlignment="1">
      <alignment horizontal="left" vertical="top"/>
    </xf>
    <xf numFmtId="167" fontId="12" fillId="0" borderId="14" xfId="1" applyNumberFormat="1" applyFont="1" applyFill="1" applyBorder="1" applyAlignment="1">
      <alignment horizontal="left" vertical="top" wrapText="1"/>
    </xf>
    <xf numFmtId="167" fontId="15" fillId="0" borderId="0" xfId="1" applyNumberFormat="1" applyFont="1" applyFill="1" applyBorder="1" applyAlignment="1">
      <alignment vertical="top"/>
    </xf>
    <xf numFmtId="167" fontId="7" fillId="0" borderId="12" xfId="1" applyNumberFormat="1" applyFont="1" applyBorder="1"/>
    <xf numFmtId="0" fontId="17" fillId="0" borderId="0" xfId="1" applyFont="1" applyFill="1" applyAlignment="1">
      <alignment horizontal="centerContinuous"/>
    </xf>
    <xf numFmtId="3" fontId="6" fillId="0" borderId="0" xfId="1" applyNumberFormat="1" applyFont="1" applyFill="1" applyAlignment="1">
      <alignment horizontal="centerContinuous"/>
    </xf>
    <xf numFmtId="1" fontId="6" fillId="0" borderId="0" xfId="1" applyNumberFormat="1" applyFont="1" applyFill="1" applyAlignment="1">
      <alignment horizontal="centerContinuous"/>
    </xf>
    <xf numFmtId="0" fontId="7" fillId="0" borderId="0" xfId="1" applyFont="1"/>
    <xf numFmtId="167" fontId="7" fillId="0" borderId="22" xfId="1" applyNumberFormat="1" applyFont="1" applyFill="1" applyBorder="1" applyAlignment="1">
      <alignment horizontal="centerContinuous" vertical="center" wrapText="1"/>
    </xf>
    <xf numFmtId="167" fontId="7" fillId="0" borderId="23" xfId="1" applyNumberFormat="1" applyFont="1" applyFill="1" applyBorder="1" applyAlignment="1">
      <alignment horizontal="centerContinuous"/>
    </xf>
    <xf numFmtId="167" fontId="7" fillId="0" borderId="0" xfId="1" applyNumberFormat="1" applyFont="1" applyFill="1" applyBorder="1" applyAlignment="1">
      <alignment horizontal="centerContinuous" vertical="justify"/>
    </xf>
    <xf numFmtId="167" fontId="7" fillId="0" borderId="0" xfId="1" applyNumberFormat="1" applyFont="1" applyFill="1" applyBorder="1" applyAlignment="1">
      <alignment horizontal="centerContinuous" vertical="center"/>
    </xf>
    <xf numFmtId="167" fontId="9" fillId="0" borderId="0" xfId="1" applyNumberFormat="1" applyFont="1" applyFill="1" applyBorder="1"/>
    <xf numFmtId="167" fontId="7" fillId="0" borderId="1" xfId="1" applyNumberFormat="1" applyFont="1" applyFill="1" applyBorder="1" applyAlignment="1">
      <alignment horizontal="centerContinuous" vertical="justify"/>
    </xf>
    <xf numFmtId="167" fontId="7" fillId="0" borderId="1" xfId="1" applyNumberFormat="1" applyFont="1" applyFill="1" applyBorder="1" applyAlignment="1">
      <alignment horizontal="centerContinuous" vertical="center"/>
    </xf>
    <xf numFmtId="167" fontId="8" fillId="0" borderId="10" xfId="1" applyNumberFormat="1" applyFont="1" applyFill="1" applyBorder="1" applyAlignment="1">
      <alignment vertical="top"/>
    </xf>
    <xf numFmtId="167" fontId="7" fillId="0" borderId="12" xfId="1" applyNumberFormat="1" applyFont="1" applyFill="1" applyBorder="1" applyAlignment="1">
      <alignment vertical="top"/>
    </xf>
    <xf numFmtId="167" fontId="7" fillId="0" borderId="14" xfId="1" applyNumberFormat="1" applyFont="1" applyFill="1" applyBorder="1" applyAlignment="1">
      <alignment vertical="top"/>
    </xf>
    <xf numFmtId="167" fontId="7" fillId="0" borderId="10" xfId="1" applyNumberFormat="1" applyFont="1" applyBorder="1"/>
    <xf numFmtId="167" fontId="6" fillId="0" borderId="13" xfId="1" applyNumberFormat="1" applyFont="1" applyBorder="1"/>
    <xf numFmtId="167" fontId="6" fillId="0" borderId="14" xfId="1" applyNumberFormat="1" applyFont="1" applyBorder="1"/>
    <xf numFmtId="167" fontId="6" fillId="0" borderId="0" xfId="1" applyNumberFormat="1" applyFont="1" applyBorder="1"/>
    <xf numFmtId="167" fontId="6" fillId="0" borderId="14" xfId="1" applyNumberFormat="1" applyFont="1" applyFill="1" applyBorder="1"/>
    <xf numFmtId="167" fontId="7" fillId="0" borderId="1" xfId="1" applyNumberFormat="1" applyFont="1" applyBorder="1"/>
    <xf numFmtId="167" fontId="19" fillId="0" borderId="12" xfId="1" applyNumberFormat="1" applyFont="1" applyFill="1" applyBorder="1"/>
    <xf numFmtId="167" fontId="7" fillId="0" borderId="14" xfId="1" applyNumberFormat="1" applyFont="1" applyFill="1" applyBorder="1"/>
    <xf numFmtId="167" fontId="6" fillId="0" borderId="0" xfId="1" applyNumberFormat="1" applyFont="1" applyFill="1" applyBorder="1"/>
    <xf numFmtId="167" fontId="15" fillId="0" borderId="0" xfId="1" applyNumberFormat="1" applyFont="1" applyFill="1" applyBorder="1"/>
    <xf numFmtId="167" fontId="15" fillId="0" borderId="14" xfId="1" applyNumberFormat="1" applyFont="1" applyFill="1" applyBorder="1"/>
    <xf numFmtId="167" fontId="20" fillId="0" borderId="0" xfId="1" applyNumberFormat="1" applyFont="1" applyFill="1" applyBorder="1"/>
    <xf numFmtId="167" fontId="20" fillId="0" borderId="14" xfId="1" applyNumberFormat="1" applyFont="1" applyFill="1" applyBorder="1"/>
    <xf numFmtId="167" fontId="11" fillId="0" borderId="0" xfId="1" applyNumberFormat="1" applyFont="1" applyFill="1" applyBorder="1" applyAlignment="1">
      <alignment horizontal="left" vertical="top"/>
    </xf>
    <xf numFmtId="167" fontId="11" fillId="0" borderId="14" xfId="1" applyNumberFormat="1" applyFont="1" applyFill="1" applyBorder="1" applyAlignment="1">
      <alignment horizontal="left" vertical="top" wrapText="1"/>
    </xf>
    <xf numFmtId="167" fontId="7" fillId="0" borderId="13" xfId="1" applyNumberFormat="1" applyFont="1" applyBorder="1"/>
    <xf numFmtId="167" fontId="6" fillId="0" borderId="17" xfId="1" applyNumberFormat="1" applyFont="1" applyBorder="1"/>
    <xf numFmtId="167" fontId="6" fillId="0" borderId="9" xfId="1" applyNumberFormat="1" applyFont="1" applyBorder="1"/>
    <xf numFmtId="167" fontId="14" fillId="0" borderId="1" xfId="1" applyNumberFormat="1" applyFont="1" applyFill="1" applyBorder="1" applyAlignment="1">
      <alignment vertical="top"/>
    </xf>
    <xf numFmtId="167" fontId="7" fillId="0" borderId="29" xfId="1" applyNumberFormat="1" applyFont="1" applyBorder="1"/>
    <xf numFmtId="0" fontId="16" fillId="0" borderId="0" xfId="1" applyFont="1" applyFill="1" applyAlignment="1"/>
    <xf numFmtId="0" fontId="16" fillId="0" borderId="0" xfId="1" applyFont="1" applyFill="1" applyAlignment="1">
      <alignment horizontal="centerContinuous"/>
    </xf>
    <xf numFmtId="170" fontId="7" fillId="0" borderId="0" xfId="1" applyNumberFormat="1" applyFont="1" applyFill="1" applyBorder="1" applyAlignment="1">
      <alignment horizontal="right" vertical="top"/>
    </xf>
    <xf numFmtId="167" fontId="7" fillId="0" borderId="0" xfId="1" applyNumberFormat="1" applyFont="1" applyFill="1" applyBorder="1" applyAlignment="1">
      <alignment horizontal="right"/>
    </xf>
    <xf numFmtId="167" fontId="7" fillId="0" borderId="1" xfId="1" applyNumberFormat="1" applyFont="1" applyFill="1" applyBorder="1" applyAlignment="1">
      <alignment horizontal="right" vertical="top"/>
    </xf>
    <xf numFmtId="167" fontId="7" fillId="0" borderId="0" xfId="1" applyNumberFormat="1" applyFont="1" applyFill="1" applyBorder="1" applyAlignment="1">
      <alignment horizontal="center" vertical="center" wrapText="1"/>
    </xf>
    <xf numFmtId="0" fontId="21" fillId="0" borderId="0" xfId="0" applyFont="1"/>
    <xf numFmtId="167" fontId="10" fillId="0" borderId="0" xfId="1" applyNumberFormat="1" applyFont="1" applyFill="1" applyBorder="1" applyAlignment="1">
      <alignment horizontal="left" vertical="top" wrapText="1"/>
    </xf>
    <xf numFmtId="0" fontId="21" fillId="0" borderId="31" xfId="0" applyFont="1" applyBorder="1"/>
    <xf numFmtId="167" fontId="10" fillId="0" borderId="39" xfId="1" applyNumberFormat="1" applyFont="1" applyFill="1" applyBorder="1" applyAlignment="1">
      <alignment horizontal="left" vertical="top" wrapText="1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167" fontId="8" fillId="0" borderId="40" xfId="1" applyNumberFormat="1" applyFont="1" applyFill="1" applyBorder="1" applyAlignment="1">
      <alignment horizontal="left" vertical="top" wrapText="1"/>
    </xf>
    <xf numFmtId="167" fontId="8" fillId="0" borderId="41" xfId="1" applyNumberFormat="1" applyFont="1" applyFill="1" applyBorder="1" applyAlignment="1">
      <alignment horizontal="left" vertical="top" wrapText="1"/>
    </xf>
    <xf numFmtId="167" fontId="7" fillId="0" borderId="31" xfId="1" applyNumberFormat="1" applyFont="1" applyFill="1" applyBorder="1" applyAlignment="1">
      <alignment horizontal="center" vertical="center" wrapText="1"/>
    </xf>
    <xf numFmtId="167" fontId="10" fillId="0" borderId="31" xfId="1" applyNumberFormat="1" applyFont="1" applyFill="1" applyBorder="1" applyAlignment="1">
      <alignment horizontal="left" vertical="top" wrapText="1"/>
    </xf>
    <xf numFmtId="166" fontId="0" fillId="0" borderId="31" xfId="6" applyNumberFormat="1" applyFont="1" applyBorder="1"/>
    <xf numFmtId="166" fontId="0" fillId="0" borderId="0" xfId="6" applyNumberFormat="1" applyFont="1"/>
    <xf numFmtId="166" fontId="0" fillId="0" borderId="32" xfId="6" applyNumberFormat="1" applyFont="1" applyBorder="1"/>
    <xf numFmtId="166" fontId="0" fillId="0" borderId="33" xfId="6" applyNumberFormat="1" applyFont="1" applyBorder="1"/>
    <xf numFmtId="166" fontId="0" fillId="0" borderId="34" xfId="6" applyNumberFormat="1" applyFont="1" applyBorder="1"/>
    <xf numFmtId="166" fontId="0" fillId="0" borderId="35" xfId="6" applyNumberFormat="1" applyFont="1" applyBorder="1"/>
    <xf numFmtId="166" fontId="0" fillId="0" borderId="0" xfId="6" applyNumberFormat="1" applyFont="1" applyBorder="1"/>
    <xf numFmtId="166" fontId="0" fillId="0" borderId="36" xfId="6" applyNumberFormat="1" applyFont="1" applyBorder="1"/>
    <xf numFmtId="166" fontId="0" fillId="0" borderId="44" xfId="6" applyNumberFormat="1" applyFont="1" applyBorder="1"/>
    <xf numFmtId="166" fontId="0" fillId="0" borderId="30" xfId="6" applyNumberFormat="1" applyFont="1" applyBorder="1"/>
    <xf numFmtId="166" fontId="0" fillId="0" borderId="37" xfId="6" applyNumberFormat="1" applyFont="1" applyBorder="1"/>
    <xf numFmtId="166" fontId="7" fillId="0" borderId="31" xfId="6" applyNumberFormat="1" applyFont="1" applyFill="1" applyBorder="1" applyAlignment="1">
      <alignment horizontal="center" vertical="center" wrapText="1"/>
    </xf>
    <xf numFmtId="166" fontId="0" fillId="0" borderId="38" xfId="6" applyNumberFormat="1" applyFont="1" applyBorder="1" applyAlignment="1">
      <alignment horizontal="center" vertical="center"/>
    </xf>
    <xf numFmtId="166" fontId="0" fillId="0" borderId="0" xfId="6" applyNumberFormat="1" applyFont="1" applyAlignment="1">
      <alignment horizontal="center" vertical="center"/>
    </xf>
    <xf numFmtId="166" fontId="0" fillId="0" borderId="32" xfId="6" applyNumberFormat="1" applyFont="1" applyBorder="1" applyAlignment="1">
      <alignment horizontal="center" vertical="center"/>
    </xf>
    <xf numFmtId="166" fontId="0" fillId="0" borderId="33" xfId="6" applyNumberFormat="1" applyFont="1" applyBorder="1" applyAlignment="1">
      <alignment horizontal="center" vertical="center"/>
    </xf>
    <xf numFmtId="166" fontId="0" fillId="0" borderId="34" xfId="6" applyNumberFormat="1" applyFont="1" applyBorder="1" applyAlignment="1">
      <alignment horizontal="center" vertical="center"/>
    </xf>
    <xf numFmtId="166" fontId="0" fillId="0" borderId="35" xfId="6" applyNumberFormat="1" applyFont="1" applyBorder="1" applyAlignment="1">
      <alignment horizontal="center" vertical="center"/>
    </xf>
    <xf numFmtId="166" fontId="0" fillId="0" borderId="0" xfId="6" applyNumberFormat="1" applyFont="1" applyBorder="1" applyAlignment="1">
      <alignment horizontal="center" vertical="center"/>
    </xf>
    <xf numFmtId="166" fontId="0" fillId="0" borderId="36" xfId="6" applyNumberFormat="1" applyFont="1" applyBorder="1" applyAlignment="1">
      <alignment horizontal="center" vertical="center"/>
    </xf>
    <xf numFmtId="166" fontId="0" fillId="0" borderId="0" xfId="0" applyNumberFormat="1"/>
    <xf numFmtId="167" fontId="8" fillId="0" borderId="40" xfId="1" applyNumberFormat="1" applyFont="1" applyFill="1" applyBorder="1" applyAlignment="1">
      <alignment horizontal="left" wrapText="1"/>
    </xf>
    <xf numFmtId="166" fontId="0" fillId="0" borderId="43" xfId="6" applyNumberFormat="1" applyFont="1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15" borderId="0" xfId="0" applyFont="1" applyFill="1" applyAlignment="1">
      <alignment horizontal="right"/>
    </xf>
    <xf numFmtId="0" fontId="22" fillId="0" borderId="0" xfId="0" applyFont="1" applyAlignment="1">
      <alignment horizontal="left"/>
    </xf>
    <xf numFmtId="0" fontId="23" fillId="15" borderId="0" xfId="0" applyFont="1" applyFill="1" applyAlignment="1">
      <alignment horizontal="left"/>
    </xf>
    <xf numFmtId="0" fontId="24" fillId="15" borderId="0" xfId="0" applyFont="1" applyFill="1" applyAlignment="1">
      <alignment horizontal="centerContinuous"/>
    </xf>
    <xf numFmtId="166" fontId="0" fillId="0" borderId="44" xfId="6" applyNumberFormat="1" applyFont="1" applyBorder="1" applyAlignment="1">
      <alignment horizontal="center" vertical="center"/>
    </xf>
    <xf numFmtId="166" fontId="0" fillId="0" borderId="30" xfId="6" applyNumberFormat="1" applyFont="1" applyBorder="1" applyAlignment="1">
      <alignment horizontal="center" vertical="center"/>
    </xf>
    <xf numFmtId="166" fontId="0" fillId="0" borderId="37" xfId="6" applyNumberFormat="1" applyFont="1" applyBorder="1" applyAlignment="1">
      <alignment horizontal="center" vertical="center"/>
    </xf>
    <xf numFmtId="166" fontId="0" fillId="0" borderId="42" xfId="6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/>
    <xf numFmtId="0" fontId="26" fillId="0" borderId="0" xfId="0" applyFont="1" applyAlignment="1">
      <alignment horizontal="left" vertical="center"/>
    </xf>
    <xf numFmtId="0" fontId="27" fillId="0" borderId="45" xfId="0" applyFont="1" applyBorder="1"/>
    <xf numFmtId="171" fontId="27" fillId="0" borderId="0" xfId="0" quotePrefix="1" applyNumberFormat="1" applyFont="1" applyAlignment="1">
      <alignment horizontal="right"/>
    </xf>
    <xf numFmtId="0" fontId="11" fillId="0" borderId="0" xfId="0" applyFont="1" applyAlignment="1">
      <alignment horizontal="left" vertical="center"/>
    </xf>
    <xf numFmtId="0" fontId="8" fillId="0" borderId="45" xfId="0" applyFont="1" applyBorder="1"/>
    <xf numFmtId="171" fontId="8" fillId="0" borderId="0" xfId="0" quotePrefix="1" applyNumberFormat="1" applyFont="1" applyAlignment="1">
      <alignment horizontal="right"/>
    </xf>
    <xf numFmtId="165" fontId="8" fillId="0" borderId="0" xfId="0" quotePrefix="1" applyNumberFormat="1" applyFont="1" applyAlignment="1">
      <alignment horizontal="right"/>
    </xf>
    <xf numFmtId="0" fontId="8" fillId="5" borderId="47" xfId="0" applyFont="1" applyFill="1" applyBorder="1" applyAlignment="1">
      <alignment horizontal="centerContinuous" vertical="center"/>
    </xf>
    <xf numFmtId="0" fontId="8" fillId="5" borderId="48" xfId="0" applyFont="1" applyFill="1" applyBorder="1" applyAlignment="1">
      <alignment horizontal="centerContinuous" vertical="center"/>
    </xf>
    <xf numFmtId="0" fontId="8" fillId="5" borderId="49" xfId="0" applyFont="1" applyFill="1" applyBorder="1" applyAlignment="1">
      <alignment horizontal="centerContinuous" vertical="center"/>
    </xf>
    <xf numFmtId="0" fontId="8" fillId="8" borderId="47" xfId="0" applyFont="1" applyFill="1" applyBorder="1" applyAlignment="1">
      <alignment horizontal="centerContinuous" vertical="center"/>
    </xf>
    <xf numFmtId="0" fontId="8" fillId="8" borderId="48" xfId="0" applyFont="1" applyFill="1" applyBorder="1" applyAlignment="1">
      <alignment horizontal="centerContinuous" vertical="center"/>
    </xf>
    <xf numFmtId="0" fontId="8" fillId="8" borderId="49" xfId="0" applyFont="1" applyFill="1" applyBorder="1" applyAlignment="1">
      <alignment horizontal="centerContinuous" vertical="center"/>
    </xf>
    <xf numFmtId="0" fontId="8" fillId="0" borderId="5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8" fillId="9" borderId="50" xfId="0" applyFont="1" applyFill="1" applyBorder="1" applyAlignment="1">
      <alignment horizontal="right"/>
    </xf>
    <xf numFmtId="172" fontId="8" fillId="0" borderId="0" xfId="0" applyNumberFormat="1" applyFont="1"/>
    <xf numFmtId="0" fontId="8" fillId="0" borderId="0" xfId="0" applyFont="1" applyAlignment="1">
      <alignment horizontal="left" vertical="center" wrapText="1"/>
    </xf>
    <xf numFmtId="0" fontId="8" fillId="0" borderId="54" xfId="0" applyFont="1" applyBorder="1" applyAlignment="1">
      <alignment horizontal="left"/>
    </xf>
    <xf numFmtId="173" fontId="8" fillId="0" borderId="54" xfId="0" applyNumberFormat="1" applyFont="1" applyBorder="1"/>
    <xf numFmtId="173" fontId="8" fillId="0" borderId="0" xfId="0" applyNumberFormat="1" applyFont="1"/>
    <xf numFmtId="0" fontId="29" fillId="0" borderId="0" xfId="0" applyFont="1"/>
    <xf numFmtId="0" fontId="11" fillId="0" borderId="0" xfId="0" applyFont="1" applyAlignment="1">
      <alignment vertical="center"/>
    </xf>
    <xf numFmtId="0" fontId="8" fillId="6" borderId="48" xfId="0" applyFont="1" applyFill="1" applyBorder="1" applyAlignment="1">
      <alignment horizontal="centerContinuous" vertical="center"/>
    </xf>
    <xf numFmtId="0" fontId="8" fillId="6" borderId="0" xfId="0" applyFont="1" applyFill="1" applyAlignment="1">
      <alignment horizontal="centerContinuous" vertical="center"/>
    </xf>
    <xf numFmtId="0" fontId="8" fillId="6" borderId="49" xfId="0" applyFont="1" applyFill="1" applyBorder="1" applyAlignment="1">
      <alignment horizontal="centerContinuous" vertical="center"/>
    </xf>
    <xf numFmtId="0" fontId="30" fillId="7" borderId="47" xfId="0" applyFont="1" applyFill="1" applyBorder="1" applyAlignment="1">
      <alignment horizontal="centerContinuous" vertical="center"/>
    </xf>
    <xf numFmtId="0" fontId="30" fillId="7" borderId="48" xfId="0" applyFont="1" applyFill="1" applyBorder="1" applyAlignment="1">
      <alignment horizontal="centerContinuous" vertical="center"/>
    </xf>
    <xf numFmtId="0" fontId="8" fillId="9" borderId="51" xfId="0" applyFont="1" applyFill="1" applyBorder="1" applyAlignment="1">
      <alignment horizontal="right"/>
    </xf>
    <xf numFmtId="0" fontId="8" fillId="0" borderId="0" xfId="7" applyFont="1" applyAlignment="1">
      <alignment horizontal="left"/>
    </xf>
    <xf numFmtId="0" fontId="8" fillId="0" borderId="0" xfId="7" applyFont="1" applyAlignment="1">
      <alignment horizontal="left" vertical="center" wrapText="1"/>
    </xf>
    <xf numFmtId="172" fontId="8" fillId="0" borderId="54" xfId="0" applyNumberFormat="1" applyFont="1" applyBorder="1"/>
    <xf numFmtId="0" fontId="30" fillId="16" borderId="0" xfId="0" applyFont="1" applyFill="1" applyAlignment="1">
      <alignment horizontal="centerContinuous" vertical="center"/>
    </xf>
    <xf numFmtId="3" fontId="8" fillId="9" borderId="50" xfId="0" applyNumberFormat="1" applyFont="1" applyFill="1" applyBorder="1"/>
    <xf numFmtId="0" fontId="8" fillId="0" borderId="0" xfId="0" quotePrefix="1" applyFont="1" applyAlignment="1">
      <alignment horizontal="right"/>
    </xf>
    <xf numFmtId="0" fontId="8" fillId="0" borderId="57" xfId="0" applyFont="1" applyBorder="1"/>
    <xf numFmtId="0" fontId="8" fillId="0" borderId="58" xfId="0" applyFont="1" applyBorder="1"/>
    <xf numFmtId="0" fontId="8" fillId="0" borderId="59" xfId="0" applyFont="1" applyBorder="1"/>
    <xf numFmtId="0" fontId="10" fillId="0" borderId="60" xfId="0" applyFont="1" applyBorder="1" applyAlignment="1">
      <alignment horizontal="centerContinuous"/>
    </xf>
    <xf numFmtId="0" fontId="11" fillId="0" borderId="0" xfId="0" applyFont="1" applyAlignment="1">
      <alignment horizontal="centerContinuous"/>
    </xf>
    <xf numFmtId="0" fontId="11" fillId="0" borderId="61" xfId="0" applyFont="1" applyBorder="1" applyAlignment="1">
      <alignment horizontal="centerContinuous"/>
    </xf>
    <xf numFmtId="0" fontId="31" fillId="0" borderId="60" xfId="0" applyFont="1" applyBorder="1"/>
    <xf numFmtId="0" fontId="8" fillId="0" borderId="61" xfId="0" applyFont="1" applyBorder="1"/>
    <xf numFmtId="0" fontId="8" fillId="0" borderId="60" xfId="0" applyFont="1" applyBorder="1"/>
    <xf numFmtId="0" fontId="8" fillId="0" borderId="63" xfId="0" applyFont="1" applyBorder="1"/>
    <xf numFmtId="0" fontId="11" fillId="0" borderId="60" xfId="0" applyFont="1" applyBorder="1"/>
    <xf numFmtId="0" fontId="8" fillId="0" borderId="64" xfId="0" applyFont="1" applyBorder="1"/>
    <xf numFmtId="0" fontId="8" fillId="0" borderId="65" xfId="0" applyFont="1" applyBorder="1" applyAlignment="1">
      <alignment horizontal="centerContinuous"/>
    </xf>
    <xf numFmtId="0" fontId="8" fillId="0" borderId="65" xfId="0" applyFont="1" applyBorder="1"/>
    <xf numFmtId="0" fontId="8" fillId="0" borderId="66" xfId="0" applyFont="1" applyBorder="1"/>
    <xf numFmtId="0" fontId="8" fillId="0" borderId="54" xfId="0" applyFont="1" applyBorder="1"/>
    <xf numFmtId="174" fontId="8" fillId="0" borderId="54" xfId="0" applyNumberFormat="1" applyFont="1" applyBorder="1"/>
    <xf numFmtId="3" fontId="8" fillId="0" borderId="54" xfId="0" applyNumberFormat="1" applyFont="1" applyBorder="1"/>
    <xf numFmtId="0" fontId="28" fillId="0" borderId="0" xfId="0" applyFont="1"/>
    <xf numFmtId="167" fontId="7" fillId="0" borderId="35" xfId="1" applyNumberFormat="1" applyFont="1" applyFill="1" applyBorder="1" applyAlignment="1">
      <alignment horizontal="center" vertical="center" wrapText="1"/>
    </xf>
    <xf numFmtId="10" fontId="8" fillId="0" borderId="0" xfId="5" applyNumberFormat="1" applyFont="1"/>
    <xf numFmtId="175" fontId="8" fillId="0" borderId="0" xfId="5" applyNumberFormat="1" applyFont="1"/>
    <xf numFmtId="175" fontId="8" fillId="0" borderId="54" xfId="5" applyNumberFormat="1" applyFont="1" applyBorder="1"/>
    <xf numFmtId="166" fontId="0" fillId="0" borderId="35" xfId="6" applyNumberFormat="1" applyFont="1" applyFill="1" applyBorder="1" applyAlignment="1">
      <alignment horizontal="center" vertical="center"/>
    </xf>
    <xf numFmtId="166" fontId="0" fillId="0" borderId="36" xfId="6" applyNumberFormat="1" applyFont="1" applyFill="1" applyBorder="1" applyAlignment="1">
      <alignment horizontal="center" vertical="center"/>
    </xf>
    <xf numFmtId="166" fontId="0" fillId="0" borderId="43" xfId="6" applyNumberFormat="1" applyFont="1" applyFill="1" applyBorder="1" applyAlignment="1">
      <alignment horizontal="center" vertical="center"/>
    </xf>
    <xf numFmtId="166" fontId="0" fillId="0" borderId="38" xfId="6" applyNumberFormat="1" applyFont="1" applyFill="1" applyBorder="1" applyAlignment="1">
      <alignment horizontal="center" vertical="center"/>
    </xf>
    <xf numFmtId="166" fontId="0" fillId="0" borderId="34" xfId="6" applyNumberFormat="1" applyFont="1" applyFill="1" applyBorder="1" applyAlignment="1">
      <alignment horizontal="center" vertical="center"/>
    </xf>
    <xf numFmtId="166" fontId="0" fillId="0" borderId="37" xfId="6" applyNumberFormat="1" applyFont="1" applyFill="1" applyBorder="1" applyAlignment="1">
      <alignment horizontal="center" vertical="center"/>
    </xf>
    <xf numFmtId="166" fontId="0" fillId="0" borderId="32" xfId="6" applyNumberFormat="1" applyFont="1" applyFill="1" applyBorder="1" applyAlignment="1">
      <alignment horizontal="center" vertical="center"/>
    </xf>
    <xf numFmtId="166" fontId="0" fillId="0" borderId="44" xfId="6" applyNumberFormat="1" applyFont="1" applyFill="1" applyBorder="1" applyAlignment="1">
      <alignment horizontal="center" vertical="center"/>
    </xf>
    <xf numFmtId="167" fontId="7" fillId="0" borderId="39" xfId="1" applyNumberFormat="1" applyFont="1" applyFill="1" applyBorder="1" applyAlignment="1">
      <alignment horizontal="center" vertical="center" wrapText="1"/>
    </xf>
    <xf numFmtId="0" fontId="0" fillId="0" borderId="41" xfId="0" applyBorder="1" applyAlignment="1">
      <alignment horizontal="left"/>
    </xf>
    <xf numFmtId="10" fontId="0" fillId="0" borderId="34" xfId="5" applyNumberFormat="1" applyFont="1" applyBorder="1" applyAlignment="1">
      <alignment horizontal="center" vertical="center"/>
    </xf>
    <xf numFmtId="10" fontId="0" fillId="0" borderId="36" xfId="5" applyNumberFormat="1" applyFont="1" applyBorder="1" applyAlignment="1">
      <alignment horizontal="center" vertical="center"/>
    </xf>
    <xf numFmtId="10" fontId="0" fillId="0" borderId="36" xfId="5" applyNumberFormat="1" applyFont="1" applyFill="1" applyBorder="1" applyAlignment="1">
      <alignment horizontal="center" vertical="center"/>
    </xf>
    <xf numFmtId="175" fontId="0" fillId="0" borderId="36" xfId="5" applyNumberFormat="1" applyFont="1" applyFill="1" applyBorder="1" applyAlignment="1">
      <alignment horizontal="center" vertical="center"/>
    </xf>
    <xf numFmtId="166" fontId="8" fillId="0" borderId="0" xfId="6" applyNumberFormat="1" applyFont="1"/>
    <xf numFmtId="166" fontId="8" fillId="0" borderId="54" xfId="6" applyNumberFormat="1" applyFont="1" applyBorder="1"/>
    <xf numFmtId="10" fontId="0" fillId="0" borderId="35" xfId="5" applyNumberFormat="1" applyFont="1" applyFill="1" applyBorder="1" applyAlignment="1">
      <alignment horizontal="center" vertical="center"/>
    </xf>
    <xf numFmtId="10" fontId="0" fillId="0" borderId="0" xfId="5" applyNumberFormat="1" applyFont="1" applyBorder="1" applyAlignment="1">
      <alignment horizontal="center" vertical="center"/>
    </xf>
    <xf numFmtId="166" fontId="33" fillId="7" borderId="51" xfId="6" applyNumberFormat="1" applyFont="1" applyFill="1" applyBorder="1" applyAlignment="1">
      <alignment horizontal="center" vertical="center" wrapText="1"/>
    </xf>
    <xf numFmtId="0" fontId="33" fillId="7" borderId="56" xfId="0" applyFont="1" applyFill="1" applyBorder="1" applyAlignment="1">
      <alignment horizontal="center" vertical="center" wrapText="1"/>
    </xf>
    <xf numFmtId="10" fontId="0" fillId="0" borderId="0" xfId="5" applyNumberFormat="1" applyFont="1"/>
    <xf numFmtId="175" fontId="0" fillId="0" borderId="0" xfId="5" applyNumberFormat="1" applyFont="1"/>
    <xf numFmtId="10" fontId="8" fillId="0" borderId="0" xfId="0" applyNumberFormat="1" applyFont="1"/>
    <xf numFmtId="10" fontId="33" fillId="7" borderId="51" xfId="5" applyNumberFormat="1" applyFont="1" applyFill="1" applyBorder="1" applyAlignment="1">
      <alignment horizontal="center" vertical="center" wrapText="1"/>
    </xf>
    <xf numFmtId="10" fontId="0" fillId="0" borderId="43" xfId="5" applyNumberFormat="1" applyFont="1" applyFill="1" applyBorder="1" applyAlignment="1">
      <alignment horizontal="center" vertical="center"/>
    </xf>
    <xf numFmtId="10" fontId="0" fillId="0" borderId="38" xfId="5" applyNumberFormat="1" applyFont="1" applyFill="1" applyBorder="1" applyAlignment="1">
      <alignment horizontal="center" vertical="center"/>
    </xf>
    <xf numFmtId="10" fontId="0" fillId="0" borderId="43" xfId="5" applyNumberFormat="1" applyFont="1" applyBorder="1" applyAlignment="1">
      <alignment horizontal="center" vertical="center"/>
    </xf>
    <xf numFmtId="10" fontId="0" fillId="0" borderId="38" xfId="5" applyNumberFormat="1" applyFont="1" applyBorder="1" applyAlignment="1">
      <alignment horizontal="center" vertical="center"/>
    </xf>
    <xf numFmtId="10" fontId="0" fillId="0" borderId="42" xfId="5" applyNumberFormat="1" applyFont="1" applyBorder="1" applyAlignment="1">
      <alignment horizontal="center" vertical="center"/>
    </xf>
    <xf numFmtId="10" fontId="0" fillId="0" borderId="32" xfId="5" applyNumberFormat="1" applyFont="1" applyFill="1" applyBorder="1" applyAlignment="1">
      <alignment horizontal="center" vertical="center"/>
    </xf>
    <xf numFmtId="10" fontId="0" fillId="0" borderId="34" xfId="5" applyNumberFormat="1" applyFont="1" applyFill="1" applyBorder="1" applyAlignment="1">
      <alignment horizontal="center" vertical="center"/>
    </xf>
    <xf numFmtId="10" fontId="0" fillId="0" borderId="32" xfId="5" applyNumberFormat="1" applyFont="1" applyBorder="1" applyAlignment="1">
      <alignment horizontal="center" vertical="center"/>
    </xf>
    <xf numFmtId="10" fontId="0" fillId="0" borderId="33" xfId="5" applyNumberFormat="1" applyFont="1" applyBorder="1" applyAlignment="1">
      <alignment horizontal="center" vertical="center"/>
    </xf>
    <xf numFmtId="10" fontId="0" fillId="0" borderId="35" xfId="5" applyNumberFormat="1" applyFont="1" applyBorder="1" applyAlignment="1">
      <alignment horizontal="center" vertical="center"/>
    </xf>
    <xf numFmtId="10" fontId="0" fillId="0" borderId="44" xfId="5" applyNumberFormat="1" applyFont="1" applyFill="1" applyBorder="1" applyAlignment="1">
      <alignment horizontal="center" vertical="center"/>
    </xf>
    <xf numFmtId="10" fontId="0" fillId="0" borderId="37" xfId="5" applyNumberFormat="1" applyFont="1" applyFill="1" applyBorder="1" applyAlignment="1">
      <alignment horizontal="center" vertical="center"/>
    </xf>
    <xf numFmtId="10" fontId="0" fillId="0" borderId="44" xfId="5" applyNumberFormat="1" applyFont="1" applyBorder="1" applyAlignment="1">
      <alignment horizontal="center" vertical="center"/>
    </xf>
    <xf numFmtId="10" fontId="0" fillId="0" borderId="37" xfId="5" applyNumberFormat="1" applyFont="1" applyBorder="1" applyAlignment="1">
      <alignment horizontal="center" vertical="center"/>
    </xf>
    <xf numFmtId="10" fontId="0" fillId="0" borderId="30" xfId="5" applyNumberFormat="1" applyFont="1" applyBorder="1" applyAlignment="1">
      <alignment horizontal="center" vertical="center"/>
    </xf>
    <xf numFmtId="166" fontId="0" fillId="12" borderId="0" xfId="0" applyNumberFormat="1" applyFill="1"/>
    <xf numFmtId="0" fontId="21" fillId="0" borderId="0" xfId="0" applyFont="1" applyAlignment="1">
      <alignment horizontal="right"/>
    </xf>
    <xf numFmtId="0" fontId="33" fillId="7" borderId="0" xfId="0" applyFont="1" applyFill="1" applyAlignment="1">
      <alignment horizontal="center" vertical="center" wrapText="1"/>
    </xf>
    <xf numFmtId="166" fontId="33" fillId="7" borderId="0" xfId="6" applyNumberFormat="1" applyFont="1" applyFill="1" applyBorder="1" applyAlignment="1">
      <alignment horizontal="center" vertical="center" wrapText="1"/>
    </xf>
    <xf numFmtId="166" fontId="35" fillId="14" borderId="51" xfId="6" applyNumberFormat="1" applyFont="1" applyFill="1" applyBorder="1" applyAlignment="1">
      <alignment horizontal="center" vertical="center" wrapText="1"/>
    </xf>
    <xf numFmtId="0" fontId="0" fillId="13" borderId="0" xfId="0" applyFill="1"/>
    <xf numFmtId="166" fontId="0" fillId="13" borderId="0" xfId="0" applyNumberFormat="1" applyFill="1"/>
    <xf numFmtId="166" fontId="35" fillId="13" borderId="51" xfId="6" applyNumberFormat="1" applyFont="1" applyFill="1" applyBorder="1" applyAlignment="1">
      <alignment horizontal="center" vertical="center" wrapText="1"/>
    </xf>
    <xf numFmtId="166" fontId="8" fillId="13" borderId="0" xfId="6" applyNumberFormat="1" applyFont="1" applyFill="1"/>
    <xf numFmtId="0" fontId="0" fillId="0" borderId="0" xfId="0" applyAlignment="1">
      <alignment horizontal="center" vertical="center"/>
    </xf>
    <xf numFmtId="10" fontId="0" fillId="0" borderId="31" xfId="5" applyNumberFormat="1" applyFont="1" applyBorder="1" applyAlignment="1">
      <alignment horizontal="center" vertical="center"/>
    </xf>
    <xf numFmtId="166" fontId="0" fillId="0" borderId="31" xfId="0" applyNumberFormat="1" applyBorder="1"/>
    <xf numFmtId="175" fontId="0" fillId="0" borderId="31" xfId="5" applyNumberFormat="1" applyFont="1" applyBorder="1"/>
    <xf numFmtId="0" fontId="0" fillId="0" borderId="31" xfId="0" applyBorder="1"/>
    <xf numFmtId="10" fontId="0" fillId="0" borderId="31" xfId="5" applyNumberFormat="1" applyFont="1" applyBorder="1"/>
    <xf numFmtId="167" fontId="7" fillId="13" borderId="0" xfId="1" applyNumberFormat="1" applyFont="1" applyFill="1" applyBorder="1" applyAlignment="1">
      <alignment vertical="top"/>
    </xf>
    <xf numFmtId="166" fontId="0" fillId="0" borderId="0" xfId="5" applyNumberFormat="1" applyFont="1"/>
    <xf numFmtId="167" fontId="20" fillId="0" borderId="0" xfId="1" applyNumberFormat="1" applyFont="1" applyFill="1" applyBorder="1" applyAlignment="1">
      <alignment horizontal="left" vertical="top" wrapText="1"/>
    </xf>
    <xf numFmtId="166" fontId="7" fillId="0" borderId="39" xfId="6" applyNumberFormat="1" applyFont="1" applyFill="1" applyBorder="1" applyAlignment="1">
      <alignment horizontal="center" vertical="center" wrapText="1"/>
    </xf>
    <xf numFmtId="166" fontId="0" fillId="14" borderId="36" xfId="6" applyNumberFormat="1" applyFont="1" applyFill="1" applyBorder="1" applyAlignment="1">
      <alignment horizontal="center" vertical="center"/>
    </xf>
    <xf numFmtId="166" fontId="8" fillId="0" borderId="0" xfId="0" applyNumberFormat="1" applyFont="1" applyAlignment="1">
      <alignment horizontal="right"/>
    </xf>
    <xf numFmtId="167" fontId="11" fillId="4" borderId="11" xfId="1" applyNumberFormat="1" applyFont="1" applyFill="1" applyBorder="1" applyAlignment="1">
      <alignment horizontal="center" vertical="center" wrapText="1"/>
    </xf>
    <xf numFmtId="167" fontId="11" fillId="4" borderId="13" xfId="1" applyNumberFormat="1" applyFont="1" applyFill="1" applyBorder="1" applyAlignment="1">
      <alignment horizontal="center" vertical="center" wrapText="1"/>
    </xf>
    <xf numFmtId="167" fontId="11" fillId="4" borderId="17" xfId="1" applyNumberFormat="1" applyFont="1" applyFill="1" applyBorder="1" applyAlignment="1">
      <alignment horizontal="center" vertical="center" wrapText="1"/>
    </xf>
    <xf numFmtId="167" fontId="6" fillId="0" borderId="10" xfId="1" applyNumberFormat="1" applyFont="1" applyFill="1" applyBorder="1" applyAlignment="1">
      <alignment horizontal="right" vertical="top"/>
    </xf>
    <xf numFmtId="167" fontId="14" fillId="0" borderId="10" xfId="1" applyNumberFormat="1" applyFont="1" applyFill="1" applyBorder="1" applyAlignment="1">
      <alignment horizontal="right" vertical="top"/>
    </xf>
    <xf numFmtId="167" fontId="7" fillId="0" borderId="0" xfId="1" applyNumberFormat="1" applyFont="1" applyFill="1" applyBorder="1" applyAlignment="1">
      <alignment horizontal="right" vertical="top"/>
    </xf>
    <xf numFmtId="167" fontId="6" fillId="0" borderId="1" xfId="1" applyNumberFormat="1" applyFont="1" applyFill="1" applyBorder="1" applyAlignment="1">
      <alignment horizontal="right" vertical="top"/>
    </xf>
    <xf numFmtId="167" fontId="11" fillId="4" borderId="12" xfId="1" applyNumberFormat="1" applyFont="1" applyFill="1" applyBorder="1" applyAlignment="1">
      <alignment horizontal="center" vertical="center" wrapText="1"/>
    </xf>
    <xf numFmtId="167" fontId="11" fillId="4" borderId="14" xfId="1" applyNumberFormat="1" applyFont="1" applyFill="1" applyBorder="1" applyAlignment="1">
      <alignment horizontal="center" vertical="center" wrapText="1"/>
    </xf>
    <xf numFmtId="167" fontId="11" fillId="4" borderId="9" xfId="1" applyNumberFormat="1" applyFont="1" applyFill="1" applyBorder="1" applyAlignment="1">
      <alignment horizontal="center" vertical="center" wrapText="1"/>
    </xf>
    <xf numFmtId="169" fontId="6" fillId="0" borderId="1" xfId="1" applyNumberFormat="1" applyFont="1" applyFill="1" applyBorder="1" applyAlignment="1">
      <alignment horizontal="right" vertical="top"/>
    </xf>
    <xf numFmtId="167" fontId="14" fillId="0" borderId="1" xfId="1" applyNumberFormat="1" applyFont="1" applyFill="1" applyBorder="1" applyAlignment="1">
      <alignment horizontal="right" vertical="top"/>
    </xf>
    <xf numFmtId="167" fontId="7" fillId="13" borderId="0" xfId="1" applyNumberFormat="1" applyFont="1" applyFill="1" applyBorder="1" applyAlignment="1">
      <alignment horizontal="right" vertical="top"/>
    </xf>
    <xf numFmtId="167" fontId="13" fillId="0" borderId="1" xfId="1" applyNumberFormat="1" applyFont="1" applyFill="1" applyBorder="1" applyAlignment="1">
      <alignment horizontal="right" vertical="top"/>
    </xf>
    <xf numFmtId="169" fontId="7" fillId="0" borderId="0" xfId="1" applyNumberFormat="1" applyFont="1" applyFill="1" applyBorder="1" applyAlignment="1">
      <alignment horizontal="right" vertical="top"/>
    </xf>
    <xf numFmtId="169" fontId="7" fillId="13" borderId="0" xfId="1" applyNumberFormat="1" applyFont="1" applyFill="1" applyBorder="1" applyAlignment="1">
      <alignment horizontal="right" vertical="top"/>
    </xf>
    <xf numFmtId="167" fontId="7" fillId="0" borderId="26" xfId="1" applyNumberFormat="1" applyFont="1" applyFill="1" applyBorder="1" applyAlignment="1">
      <alignment horizontal="center" vertical="center" wrapText="1"/>
    </xf>
    <xf numFmtId="167" fontId="7" fillId="0" borderId="27" xfId="1" applyNumberFormat="1" applyFont="1" applyFill="1" applyBorder="1" applyAlignment="1">
      <alignment horizontal="center" vertical="center" wrapText="1"/>
    </xf>
    <xf numFmtId="167" fontId="7" fillId="0" borderId="28" xfId="1" applyNumberFormat="1" applyFont="1" applyFill="1" applyBorder="1" applyAlignment="1">
      <alignment horizontal="center" vertical="center" wrapText="1"/>
    </xf>
    <xf numFmtId="167" fontId="7" fillId="0" borderId="16" xfId="1" applyNumberFormat="1" applyFont="1" applyFill="1" applyBorder="1" applyAlignment="1">
      <alignment horizontal="center" vertical="center" wrapText="1"/>
    </xf>
    <xf numFmtId="167" fontId="7" fillId="0" borderId="8" xfId="1" applyNumberFormat="1" applyFont="1" applyFill="1" applyBorder="1" applyAlignment="1">
      <alignment horizontal="center" vertical="center" wrapText="1"/>
    </xf>
    <xf numFmtId="167" fontId="7" fillId="0" borderId="13" xfId="1" applyNumberFormat="1" applyFont="1" applyFill="1" applyBorder="1" applyAlignment="1">
      <alignment horizontal="center" vertical="center" wrapText="1"/>
    </xf>
    <xf numFmtId="167" fontId="7" fillId="0" borderId="14" xfId="1" applyNumberFormat="1" applyFont="1" applyFill="1" applyBorder="1" applyAlignment="1">
      <alignment horizontal="center" vertical="center" wrapText="1"/>
    </xf>
    <xf numFmtId="167" fontId="7" fillId="0" borderId="24" xfId="1" applyNumberFormat="1" applyFont="1" applyFill="1" applyBorder="1" applyAlignment="1">
      <alignment horizontal="center" vertical="center" wrapText="1"/>
    </xf>
    <xf numFmtId="167" fontId="7" fillId="0" borderId="25" xfId="1" applyNumberFormat="1" applyFont="1" applyFill="1" applyBorder="1" applyAlignment="1">
      <alignment horizontal="center" vertical="center" wrapText="1"/>
    </xf>
    <xf numFmtId="167" fontId="11" fillId="5" borderId="12" xfId="1" applyNumberFormat="1" applyFont="1" applyFill="1" applyBorder="1" applyAlignment="1">
      <alignment horizontal="center" vertical="center" wrapText="1"/>
    </xf>
    <xf numFmtId="167" fontId="11" fillId="5" borderId="14" xfId="1" applyNumberFormat="1" applyFont="1" applyFill="1" applyBorder="1" applyAlignment="1">
      <alignment horizontal="center" vertical="center" wrapText="1"/>
    </xf>
    <xf numFmtId="167" fontId="11" fillId="5" borderId="9" xfId="1" applyNumberFormat="1" applyFont="1" applyFill="1" applyBorder="1" applyAlignment="1">
      <alignment horizontal="center" vertical="center" wrapText="1"/>
    </xf>
    <xf numFmtId="167" fontId="11" fillId="6" borderId="12" xfId="1" applyNumberFormat="1" applyFont="1" applyFill="1" applyBorder="1" applyAlignment="1">
      <alignment horizontal="center" vertical="center" wrapText="1"/>
    </xf>
    <xf numFmtId="167" fontId="11" fillId="6" borderId="14" xfId="1" applyNumberFormat="1" applyFont="1" applyFill="1" applyBorder="1" applyAlignment="1">
      <alignment horizontal="center" vertical="center" wrapText="1"/>
    </xf>
    <xf numFmtId="167" fontId="11" fillId="6" borderId="9" xfId="1" applyNumberFormat="1" applyFont="1" applyFill="1" applyBorder="1" applyAlignment="1">
      <alignment horizontal="center" vertical="center" wrapText="1"/>
    </xf>
    <xf numFmtId="167" fontId="7" fillId="0" borderId="26" xfId="1" applyNumberFormat="1" applyFont="1" applyFill="1" applyBorder="1" applyAlignment="1">
      <alignment horizontal="center" vertical="center"/>
    </xf>
    <xf numFmtId="167" fontId="7" fillId="0" borderId="27" xfId="1" applyNumberFormat="1" applyFont="1" applyFill="1" applyBorder="1" applyAlignment="1">
      <alignment horizontal="center" vertical="center"/>
    </xf>
    <xf numFmtId="167" fontId="7" fillId="0" borderId="28" xfId="1" applyNumberFormat="1" applyFont="1" applyFill="1" applyBorder="1" applyAlignment="1">
      <alignment horizontal="center" vertical="center"/>
    </xf>
    <xf numFmtId="167" fontId="11" fillId="7" borderId="11" xfId="1" applyNumberFormat="1" applyFont="1" applyFill="1" applyBorder="1" applyAlignment="1">
      <alignment horizontal="center" vertical="center" wrapText="1"/>
    </xf>
    <xf numFmtId="167" fontId="11" fillId="7" borderId="13" xfId="1" applyNumberFormat="1" applyFont="1" applyFill="1" applyBorder="1" applyAlignment="1">
      <alignment horizontal="center" vertical="center" wrapText="1"/>
    </xf>
    <xf numFmtId="167" fontId="11" fillId="7" borderId="17" xfId="1" applyNumberFormat="1" applyFont="1" applyFill="1" applyBorder="1" applyAlignment="1">
      <alignment horizontal="center" vertical="center" wrapText="1"/>
    </xf>
    <xf numFmtId="167" fontId="11" fillId="8" borderId="12" xfId="1" applyNumberFormat="1" applyFont="1" applyFill="1" applyBorder="1" applyAlignment="1">
      <alignment horizontal="center" vertical="center" wrapText="1"/>
    </xf>
    <xf numFmtId="167" fontId="11" fillId="8" borderId="9" xfId="1" applyNumberFormat="1" applyFont="1" applyFill="1" applyBorder="1" applyAlignment="1">
      <alignment horizontal="center" vertical="center" wrapText="1"/>
    </xf>
    <xf numFmtId="167" fontId="7" fillId="0" borderId="22" xfId="1" applyNumberFormat="1" applyFont="1" applyFill="1" applyBorder="1" applyAlignment="1">
      <alignment horizontal="center" vertical="center" wrapText="1"/>
    </xf>
    <xf numFmtId="167" fontId="7" fillId="0" borderId="23" xfId="1" applyNumberFormat="1" applyFont="1" applyFill="1" applyBorder="1" applyAlignment="1">
      <alignment horizontal="center" vertical="center" wrapText="1"/>
    </xf>
    <xf numFmtId="167" fontId="11" fillId="6" borderId="11" xfId="1" applyNumberFormat="1" applyFont="1" applyFill="1" applyBorder="1" applyAlignment="1">
      <alignment horizontal="center" vertical="center" wrapText="1"/>
    </xf>
    <xf numFmtId="167" fontId="11" fillId="6" borderId="13" xfId="1" applyNumberFormat="1" applyFont="1" applyFill="1" applyBorder="1" applyAlignment="1">
      <alignment horizontal="center" vertical="center" wrapText="1"/>
    </xf>
    <xf numFmtId="167" fontId="11" fillId="6" borderId="17" xfId="1" applyNumberFormat="1" applyFont="1" applyFill="1" applyBorder="1" applyAlignment="1">
      <alignment horizontal="center" vertical="center" wrapText="1"/>
    </xf>
    <xf numFmtId="167" fontId="11" fillId="7" borderId="12" xfId="1" applyNumberFormat="1" applyFont="1" applyFill="1" applyBorder="1" applyAlignment="1">
      <alignment horizontal="center" vertical="center" wrapText="1"/>
    </xf>
    <xf numFmtId="167" fontId="11" fillId="7" borderId="14" xfId="1" applyNumberFormat="1" applyFont="1" applyFill="1" applyBorder="1" applyAlignment="1">
      <alignment horizontal="center" vertical="center" wrapText="1"/>
    </xf>
    <xf numFmtId="167" fontId="11" fillId="7" borderId="9" xfId="1" applyNumberFormat="1" applyFont="1" applyFill="1" applyBorder="1" applyAlignment="1">
      <alignment horizontal="center" vertical="center" wrapText="1"/>
    </xf>
    <xf numFmtId="167" fontId="11" fillId="9" borderId="12" xfId="1" applyNumberFormat="1" applyFont="1" applyFill="1" applyBorder="1" applyAlignment="1">
      <alignment horizontal="center" vertical="center" wrapText="1"/>
    </xf>
    <xf numFmtId="167" fontId="11" fillId="9" borderId="9" xfId="1" applyNumberFormat="1" applyFont="1" applyFill="1" applyBorder="1" applyAlignment="1">
      <alignment horizontal="center" vertical="center" wrapText="1"/>
    </xf>
    <xf numFmtId="167" fontId="11" fillId="10" borderId="11" xfId="1" applyNumberFormat="1" applyFont="1" applyFill="1" applyBorder="1" applyAlignment="1">
      <alignment horizontal="center" vertical="center" wrapText="1"/>
    </xf>
    <xf numFmtId="167" fontId="11" fillId="10" borderId="13" xfId="1" applyNumberFormat="1" applyFont="1" applyFill="1" applyBorder="1" applyAlignment="1">
      <alignment horizontal="center" vertical="center" wrapText="1"/>
    </xf>
    <xf numFmtId="167" fontId="11" fillId="10" borderId="17" xfId="1" applyNumberFormat="1" applyFont="1" applyFill="1" applyBorder="1" applyAlignment="1">
      <alignment horizontal="center" vertical="center" wrapText="1"/>
    </xf>
    <xf numFmtId="167" fontId="11" fillId="10" borderId="12" xfId="1" applyNumberFormat="1" applyFont="1" applyFill="1" applyBorder="1" applyAlignment="1">
      <alignment horizontal="center" vertical="center" wrapText="1"/>
    </xf>
    <xf numFmtId="167" fontId="11" fillId="10" borderId="14" xfId="1" applyNumberFormat="1" applyFont="1" applyFill="1" applyBorder="1" applyAlignment="1">
      <alignment horizontal="center" vertical="center" wrapText="1"/>
    </xf>
    <xf numFmtId="167" fontId="11" fillId="10" borderId="9" xfId="1" applyNumberFormat="1" applyFont="1" applyFill="1" applyBorder="1" applyAlignment="1">
      <alignment horizontal="center" vertical="center" wrapText="1"/>
    </xf>
    <xf numFmtId="167" fontId="11" fillId="9" borderId="11" xfId="1" applyNumberFormat="1" applyFont="1" applyFill="1" applyBorder="1" applyAlignment="1">
      <alignment horizontal="center" vertical="center" wrapText="1"/>
    </xf>
    <xf numFmtId="167" fontId="11" fillId="9" borderId="17" xfId="1" applyNumberFormat="1" applyFont="1" applyFill="1" applyBorder="1" applyAlignment="1">
      <alignment horizontal="center" vertical="center" wrapText="1"/>
    </xf>
    <xf numFmtId="167" fontId="11" fillId="8" borderId="11" xfId="1" applyNumberFormat="1" applyFont="1" applyFill="1" applyBorder="1" applyAlignment="1">
      <alignment horizontal="center" vertical="center" wrapText="1"/>
    </xf>
    <xf numFmtId="167" fontId="11" fillId="8" borderId="13" xfId="1" applyNumberFormat="1" applyFont="1" applyFill="1" applyBorder="1" applyAlignment="1">
      <alignment horizontal="center" vertical="center" wrapText="1"/>
    </xf>
    <xf numFmtId="167" fontId="11" fillId="8" borderId="17" xfId="1" applyNumberFormat="1" applyFont="1" applyFill="1" applyBorder="1" applyAlignment="1">
      <alignment horizontal="center" vertical="center" wrapText="1"/>
    </xf>
    <xf numFmtId="167" fontId="11" fillId="5" borderId="11" xfId="1" applyNumberFormat="1" applyFont="1" applyFill="1" applyBorder="1" applyAlignment="1">
      <alignment horizontal="center" vertical="center" wrapText="1"/>
    </xf>
    <xf numFmtId="167" fontId="11" fillId="5" borderId="13" xfId="1" applyNumberFormat="1" applyFont="1" applyFill="1" applyBorder="1" applyAlignment="1">
      <alignment horizontal="center" vertical="center" wrapText="1"/>
    </xf>
    <xf numFmtId="167" fontId="11" fillId="5" borderId="17" xfId="1" applyNumberFormat="1" applyFont="1" applyFill="1" applyBorder="1" applyAlignment="1">
      <alignment horizontal="center" vertical="center" wrapText="1"/>
    </xf>
    <xf numFmtId="167" fontId="13" fillId="0" borderId="0" xfId="1" applyNumberFormat="1" applyFont="1" applyFill="1" applyBorder="1" applyAlignment="1">
      <alignment horizontal="right" vertical="top"/>
    </xf>
    <xf numFmtId="169" fontId="6" fillId="0" borderId="10" xfId="1" applyNumberFormat="1" applyFont="1" applyFill="1" applyBorder="1" applyAlignment="1">
      <alignment horizontal="right" vertical="top"/>
    </xf>
    <xf numFmtId="0" fontId="21" fillId="0" borderId="0" xfId="0" applyFont="1" applyAlignment="1">
      <alignment horizontal="center" vertical="center"/>
    </xf>
    <xf numFmtId="166" fontId="0" fillId="0" borderId="38" xfId="6" applyNumberFormat="1" applyFont="1" applyBorder="1" applyAlignment="1">
      <alignment horizontal="center" vertical="center"/>
    </xf>
    <xf numFmtId="166" fontId="0" fillId="0" borderId="31" xfId="6" applyNumberFormat="1" applyFont="1" applyBorder="1" applyAlignment="1">
      <alignment horizontal="center" vertical="center"/>
    </xf>
    <xf numFmtId="166" fontId="0" fillId="0" borderId="38" xfId="6" applyNumberFormat="1" applyFont="1" applyBorder="1" applyAlignment="1">
      <alignment horizontal="center"/>
    </xf>
    <xf numFmtId="166" fontId="0" fillId="0" borderId="31" xfId="6" applyNumberFormat="1" applyFont="1" applyBorder="1" applyAlignment="1">
      <alignment horizontal="center"/>
    </xf>
    <xf numFmtId="166" fontId="0" fillId="0" borderId="43" xfId="6" applyNumberFormat="1" applyFont="1" applyBorder="1" applyAlignment="1">
      <alignment horizontal="center" vertical="center"/>
    </xf>
    <xf numFmtId="166" fontId="0" fillId="0" borderId="43" xfId="6" applyNumberFormat="1" applyFont="1" applyBorder="1" applyAlignment="1">
      <alignment vertical="center"/>
    </xf>
    <xf numFmtId="166" fontId="0" fillId="0" borderId="38" xfId="6" applyNumberFormat="1" applyFont="1" applyBorder="1" applyAlignment="1">
      <alignment vertical="center"/>
    </xf>
    <xf numFmtId="0" fontId="0" fillId="0" borderId="31" xfId="0" applyBorder="1" applyAlignment="1">
      <alignment horizontal="center" vertical="center" wrapText="1"/>
    </xf>
    <xf numFmtId="0" fontId="32" fillId="7" borderId="0" xfId="0" applyFont="1" applyFill="1" applyAlignment="1">
      <alignment horizontal="center" vertical="center" wrapText="1"/>
    </xf>
    <xf numFmtId="0" fontId="32" fillId="16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30" fillId="7" borderId="51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center" vertical="center" wrapText="1"/>
    </xf>
    <xf numFmtId="0" fontId="30" fillId="7" borderId="53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29" fillId="5" borderId="0" xfId="0" applyFont="1" applyFill="1" applyAlignment="1">
      <alignment horizontal="center" vertical="center" wrapText="1"/>
    </xf>
    <xf numFmtId="0" fontId="29" fillId="5" borderId="0" xfId="0" applyFont="1" applyFill="1" applyAlignment="1">
      <alignment horizontal="center" vertical="center"/>
    </xf>
    <xf numFmtId="0" fontId="29" fillId="8" borderId="0" xfId="0" applyFont="1" applyFill="1" applyAlignment="1">
      <alignment horizontal="center" vertical="center" wrapText="1"/>
    </xf>
    <xf numFmtId="0" fontId="29" fillId="8" borderId="0" xfId="0" applyFont="1" applyFill="1" applyAlignment="1">
      <alignment horizontal="center" vertical="center"/>
    </xf>
    <xf numFmtId="0" fontId="29" fillId="10" borderId="62" xfId="0" applyFont="1" applyFill="1" applyBorder="1" applyAlignment="1">
      <alignment horizontal="center" vertical="center" wrapText="1"/>
    </xf>
    <xf numFmtId="0" fontId="29" fillId="10" borderId="62" xfId="0" applyFont="1" applyFill="1" applyBorder="1" applyAlignment="1">
      <alignment horizontal="center" vertical="center"/>
    </xf>
    <xf numFmtId="0" fontId="29" fillId="6" borderId="0" xfId="0" applyFont="1" applyFill="1" applyAlignment="1">
      <alignment horizontal="center" vertical="center" wrapText="1"/>
    </xf>
    <xf numFmtId="0" fontId="30" fillId="7" borderId="56" xfId="0" applyFont="1" applyFill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8" fillId="9" borderId="50" xfId="0" applyFont="1" applyFill="1" applyBorder="1" applyAlignment="1">
      <alignment horizontal="center" vertical="center" wrapText="1"/>
    </xf>
    <xf numFmtId="0" fontId="8" fillId="9" borderId="50" xfId="0" applyFont="1" applyFill="1" applyBorder="1" applyAlignment="1">
      <alignment horizontal="center" vertical="center"/>
    </xf>
    <xf numFmtId="0" fontId="8" fillId="9" borderId="53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 wrapText="1"/>
    </xf>
    <xf numFmtId="0" fontId="0" fillId="0" borderId="55" xfId="0" applyBorder="1"/>
    <xf numFmtId="0" fontId="0" fillId="0" borderId="47" xfId="0" applyBorder="1"/>
    <xf numFmtId="0" fontId="8" fillId="6" borderId="51" xfId="0" applyFont="1" applyFill="1" applyBorder="1" applyAlignment="1">
      <alignment horizontal="center" vertical="center" wrapText="1"/>
    </xf>
    <xf numFmtId="0" fontId="8" fillId="6" borderId="50" xfId="0" applyFont="1" applyFill="1" applyBorder="1" applyAlignment="1">
      <alignment horizontal="center" vertical="center"/>
    </xf>
    <xf numFmtId="0" fontId="8" fillId="6" borderId="53" xfId="0" applyFont="1" applyFill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8" fillId="5" borderId="46" xfId="0" applyFont="1" applyFill="1" applyBorder="1" applyAlignment="1">
      <alignment horizontal="center" vertical="center"/>
    </xf>
    <xf numFmtId="0" fontId="8" fillId="5" borderId="49" xfId="0" applyFont="1" applyFill="1" applyBorder="1" applyAlignment="1">
      <alignment horizontal="center" vertical="center"/>
    </xf>
    <xf numFmtId="0" fontId="8" fillId="5" borderId="50" xfId="0" applyFont="1" applyFill="1" applyBorder="1" applyAlignment="1">
      <alignment horizontal="center" vertical="center" wrapText="1"/>
    </xf>
    <xf numFmtId="0" fontId="8" fillId="5" borderId="50" xfId="0" applyFont="1" applyFill="1" applyBorder="1" applyAlignment="1">
      <alignment horizontal="center" vertical="center"/>
    </xf>
    <xf numFmtId="0" fontId="8" fillId="5" borderId="53" xfId="0" applyFont="1" applyFill="1" applyBorder="1" applyAlignment="1">
      <alignment horizontal="center" vertical="center"/>
    </xf>
    <xf numFmtId="0" fontId="8" fillId="5" borderId="53" xfId="0" applyFont="1" applyFill="1" applyBorder="1" applyAlignment="1">
      <alignment horizontal="center" vertical="center" wrapText="1"/>
    </xf>
    <xf numFmtId="0" fontId="8" fillId="8" borderId="51" xfId="0" applyFont="1" applyFill="1" applyBorder="1" applyAlignment="1">
      <alignment horizontal="center" vertical="center" wrapText="1"/>
    </xf>
    <xf numFmtId="0" fontId="8" fillId="8" borderId="50" xfId="0" quotePrefix="1" applyFont="1" applyFill="1" applyBorder="1" applyAlignment="1">
      <alignment horizontal="center" vertical="center"/>
    </xf>
    <xf numFmtId="0" fontId="8" fillId="8" borderId="53" xfId="0" quotePrefix="1" applyFont="1" applyFill="1" applyBorder="1" applyAlignment="1">
      <alignment horizontal="center" vertical="center"/>
    </xf>
    <xf numFmtId="0" fontId="8" fillId="8" borderId="50" xfId="0" applyFont="1" applyFill="1" applyBorder="1" applyAlignment="1">
      <alignment horizontal="center" vertical="center"/>
    </xf>
    <xf numFmtId="0" fontId="8" fillId="8" borderId="53" xfId="0" applyFont="1" applyFill="1" applyBorder="1" applyAlignment="1">
      <alignment horizontal="center" vertical="center"/>
    </xf>
    <xf numFmtId="0" fontId="25" fillId="5" borderId="51" xfId="0" applyFont="1" applyFill="1" applyBorder="1" applyAlignment="1">
      <alignment horizontal="center" vertical="center" wrapText="1"/>
    </xf>
    <xf numFmtId="0" fontId="25" fillId="5" borderId="50" xfId="0" applyFont="1" applyFill="1" applyBorder="1" applyAlignment="1">
      <alignment horizontal="center" vertical="center" wrapText="1"/>
    </xf>
    <xf numFmtId="0" fontId="25" fillId="5" borderId="53" xfId="0" applyFont="1" applyFill="1" applyBorder="1" applyAlignment="1">
      <alignment horizontal="center" vertical="center" wrapText="1"/>
    </xf>
    <xf numFmtId="0" fontId="8" fillId="5" borderId="51" xfId="0" applyFont="1" applyFill="1" applyBorder="1" applyAlignment="1">
      <alignment horizontal="center" vertical="center" wrapText="1"/>
    </xf>
    <xf numFmtId="171" fontId="8" fillId="9" borderId="50" xfId="0" applyNumberFormat="1" applyFont="1" applyFill="1" applyBorder="1" applyAlignment="1">
      <alignment horizontal="center" vertical="center" wrapText="1"/>
    </xf>
    <xf numFmtId="171" fontId="8" fillId="9" borderId="50" xfId="0" quotePrefix="1" applyNumberFormat="1" applyFont="1" applyFill="1" applyBorder="1" applyAlignment="1">
      <alignment horizontal="center" vertical="center"/>
    </xf>
    <xf numFmtId="171" fontId="8" fillId="9" borderId="53" xfId="0" quotePrefix="1" applyNumberFormat="1" applyFont="1" applyFill="1" applyBorder="1" applyAlignment="1">
      <alignment horizontal="center" vertical="center"/>
    </xf>
    <xf numFmtId="0" fontId="8" fillId="10" borderId="50" xfId="0" applyFont="1" applyFill="1" applyBorder="1" applyAlignment="1">
      <alignment horizontal="center" vertical="center" wrapText="1"/>
    </xf>
    <xf numFmtId="0" fontId="8" fillId="10" borderId="53" xfId="0" applyFont="1" applyFill="1" applyBorder="1" applyAlignment="1">
      <alignment horizontal="center" vertical="center" wrapText="1"/>
    </xf>
    <xf numFmtId="0" fontId="28" fillId="0" borderId="50" xfId="0" applyFont="1" applyBorder="1"/>
    <xf numFmtId="0" fontId="28" fillId="0" borderId="53" xfId="0" applyFont="1" applyBorder="1"/>
    <xf numFmtId="10" fontId="0" fillId="0" borderId="43" xfId="5" applyNumberFormat="1" applyFont="1" applyBorder="1" applyAlignment="1">
      <alignment horizontal="center" vertical="center"/>
    </xf>
    <xf numFmtId="10" fontId="0" fillId="0" borderId="38" xfId="5" applyNumberFormat="1" applyFont="1" applyBorder="1" applyAlignment="1">
      <alignment horizontal="center" vertical="center"/>
    </xf>
    <xf numFmtId="0" fontId="33" fillId="7" borderId="51" xfId="0" applyFont="1" applyFill="1" applyBorder="1" applyAlignment="1">
      <alignment horizontal="center" vertical="center" wrapText="1"/>
    </xf>
    <xf numFmtId="0" fontId="33" fillId="7" borderId="50" xfId="0" applyFont="1" applyFill="1" applyBorder="1" applyAlignment="1">
      <alignment horizontal="center" vertical="center" wrapText="1"/>
    </xf>
    <xf numFmtId="0" fontId="33" fillId="7" borderId="53" xfId="0" applyFont="1" applyFill="1" applyBorder="1" applyAlignment="1">
      <alignment horizontal="center" vertical="center" wrapText="1"/>
    </xf>
    <xf numFmtId="0" fontId="33" fillId="12" borderId="51" xfId="0" applyFont="1" applyFill="1" applyBorder="1" applyAlignment="1">
      <alignment horizontal="center" vertical="center" wrapText="1"/>
    </xf>
    <xf numFmtId="0" fontId="33" fillId="12" borderId="50" xfId="0" applyFont="1" applyFill="1" applyBorder="1" applyAlignment="1">
      <alignment horizontal="center" vertical="center" wrapText="1"/>
    </xf>
    <xf numFmtId="0" fontId="33" fillId="12" borderId="53" xfId="0" applyFont="1" applyFill="1" applyBorder="1" applyAlignment="1">
      <alignment horizontal="center" vertical="center" wrapText="1"/>
    </xf>
    <xf numFmtId="0" fontId="33" fillId="7" borderId="50" xfId="0" applyFont="1" applyFill="1" applyBorder="1" applyAlignment="1">
      <alignment horizontal="center" vertical="center"/>
    </xf>
    <xf numFmtId="0" fontId="33" fillId="7" borderId="53" xfId="0" applyFont="1" applyFill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 vertical="center"/>
    </xf>
    <xf numFmtId="0" fontId="1" fillId="14" borderId="0" xfId="0" applyFont="1" applyFill="1" applyAlignment="1">
      <alignment horizontal="center" wrapText="1"/>
    </xf>
    <xf numFmtId="0" fontId="34" fillId="12" borderId="50" xfId="0" applyFont="1" applyFill="1" applyBorder="1" applyAlignment="1">
      <alignment horizontal="center" vertical="center"/>
    </xf>
    <xf numFmtId="0" fontId="34" fillId="12" borderId="53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 wrapText="1"/>
    </xf>
    <xf numFmtId="0" fontId="36" fillId="7" borderId="50" xfId="0" applyFont="1" applyFill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center" vertical="center" wrapText="1"/>
    </xf>
    <xf numFmtId="0" fontId="33" fillId="7" borderId="55" xfId="0" applyFont="1" applyFill="1" applyBorder="1" applyAlignment="1">
      <alignment horizontal="center" vertical="center" wrapText="1"/>
    </xf>
    <xf numFmtId="0" fontId="30" fillId="16" borderId="0" xfId="0" applyFont="1" applyFill="1" applyAlignment="1">
      <alignment horizontal="center" vertical="center"/>
    </xf>
    <xf numFmtId="0" fontId="30" fillId="16" borderId="46" xfId="0" applyFont="1" applyFill="1" applyBorder="1" applyAlignment="1">
      <alignment horizontal="center" vertical="center"/>
    </xf>
    <xf numFmtId="167" fontId="11" fillId="11" borderId="11" xfId="1" applyNumberFormat="1" applyFont="1" applyFill="1" applyBorder="1" applyAlignment="1">
      <alignment horizontal="center" vertical="center" wrapText="1"/>
    </xf>
    <xf numFmtId="167" fontId="11" fillId="11" borderId="13" xfId="1" applyNumberFormat="1" applyFont="1" applyFill="1" applyBorder="1" applyAlignment="1">
      <alignment horizontal="center" vertical="center" wrapText="1"/>
    </xf>
    <xf numFmtId="167" fontId="11" fillId="11" borderId="17" xfId="1" applyNumberFormat="1" applyFont="1" applyFill="1" applyBorder="1" applyAlignment="1">
      <alignment horizontal="center" vertical="center" wrapText="1"/>
    </xf>
    <xf numFmtId="167" fontId="11" fillId="11" borderId="12" xfId="1" applyNumberFormat="1" applyFont="1" applyFill="1" applyBorder="1" applyAlignment="1">
      <alignment horizontal="center" vertical="center" wrapText="1"/>
    </xf>
    <xf numFmtId="167" fontId="11" fillId="11" borderId="14" xfId="1" applyNumberFormat="1" applyFont="1" applyFill="1" applyBorder="1" applyAlignment="1">
      <alignment horizontal="center" vertical="center" wrapText="1"/>
    </xf>
    <xf numFmtId="167" fontId="11" fillId="11" borderId="9" xfId="1" applyNumberFormat="1" applyFont="1" applyFill="1" applyBorder="1" applyAlignment="1">
      <alignment horizontal="center" vertical="center" wrapText="1"/>
    </xf>
    <xf numFmtId="168" fontId="18" fillId="0" borderId="16" xfId="1" applyNumberFormat="1" applyFont="1" applyFill="1" applyBorder="1" applyAlignment="1">
      <alignment horizontal="center"/>
    </xf>
    <xf numFmtId="168" fontId="18" fillId="0" borderId="18" xfId="1" applyNumberFormat="1" applyFont="1" applyFill="1" applyBorder="1" applyAlignment="1">
      <alignment horizontal="center"/>
    </xf>
    <xf numFmtId="168" fontId="18" fillId="0" borderId="8" xfId="1" applyNumberFormat="1" applyFont="1" applyFill="1" applyBorder="1" applyAlignment="1">
      <alignment horizontal="center"/>
    </xf>
  </cellXfs>
  <cellStyles count="8">
    <cellStyle name="dx" xfId="1" xr:uid="{50E5A4A6-D6E5-47D7-B157-52E97134B5EB}"/>
    <cellStyle name="fonteplan1" xfId="2" xr:uid="{46944623-547E-4B81-809D-8F21D0C403AF}"/>
    <cellStyle name="Normal" xfId="0" builtinId="0"/>
    <cellStyle name="Normal 3" xfId="7" xr:uid="{9F2694D7-A292-4576-9D90-7C290B535E63}"/>
    <cellStyle name="Normal_distri secund da renda " xfId="3" xr:uid="{EC8854CA-997F-4FA2-AFD7-771F5F8B022E}"/>
    <cellStyle name="Normal_Plan2" xfId="4" xr:uid="{92826101-E8CB-4048-BFA5-4F366F74B983}"/>
    <cellStyle name="Porcentagem" xfId="5" builtinId="5"/>
    <cellStyle name="Vírgula" xfId="6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4CFB2"/>
      <rgbColor rgb="0095C1E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FE4F7"/>
      <rgbColor rgb="00FBE0C7"/>
      <rgbColor rgb="0094CFB2"/>
      <rgbColor rgb="00D9D3E9"/>
      <rgbColor rgb="00F5BA9F"/>
      <rgbColor rgb="0095C1E9"/>
      <rgbColor rgb="00FF8C4C"/>
      <rgbColor rgb="00E87B1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9CC"/>
      <rgbColor rgb="00CC99FF"/>
      <rgbColor rgb="00E3E3E3"/>
      <rgbColor rgb="0095C1E9"/>
      <rgbColor rgb="0033CCCC"/>
      <rgbColor rgb="00339933"/>
      <rgbColor rgb="00999933"/>
      <rgbColor rgb="00DBC78D"/>
      <rgbColor rgb="00BD9B9B"/>
      <rgbColor rgb="00666699"/>
      <rgbColor rgb="00969696"/>
      <rgbColor rgb="0095C1E9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2A84-8EDF-43F7-9BD0-534C4984CD66}">
  <dimension ref="A1:E62"/>
  <sheetViews>
    <sheetView zoomScale="75" workbookViewId="0"/>
  </sheetViews>
  <sheetFormatPr defaultRowHeight="12.75"/>
  <cols>
    <col min="1" max="1" width="13" bestFit="1" customWidth="1"/>
    <col min="2" max="2" width="101" customWidth="1"/>
    <col min="4" max="4" width="10.796875" customWidth="1"/>
    <col min="5" max="5" width="130.19921875" style="7" bestFit="1" customWidth="1"/>
  </cols>
  <sheetData>
    <row r="1" spans="1:5" ht="13.5" customHeight="1">
      <c r="A1" s="1" t="s">
        <v>123</v>
      </c>
      <c r="B1" s="2" t="s">
        <v>9</v>
      </c>
      <c r="C1" s="8" t="s">
        <v>194</v>
      </c>
      <c r="D1" t="b">
        <f>EXACT(B1,E1)</f>
        <v>1</v>
      </c>
      <c r="E1" s="7" t="s">
        <v>9</v>
      </c>
    </row>
    <row r="2" spans="1:5" ht="13.5" customHeight="1">
      <c r="A2" s="3" t="s">
        <v>124</v>
      </c>
      <c r="B2" s="4" t="s">
        <v>11</v>
      </c>
      <c r="C2" s="8" t="s">
        <v>195</v>
      </c>
      <c r="D2" t="b">
        <f t="shared" ref="D2:D62" si="0">EXACT(B2,E2)</f>
        <v>1</v>
      </c>
      <c r="E2" s="7" t="s">
        <v>11</v>
      </c>
    </row>
    <row r="3" spans="1:5" ht="13.5" customHeight="1">
      <c r="A3" s="3" t="s">
        <v>125</v>
      </c>
      <c r="B3" s="4" t="s">
        <v>13</v>
      </c>
      <c r="C3" s="8" t="s">
        <v>196</v>
      </c>
      <c r="D3" t="b">
        <f t="shared" si="0"/>
        <v>1</v>
      </c>
      <c r="E3" s="7" t="s">
        <v>13</v>
      </c>
    </row>
    <row r="4" spans="1:5" ht="13.5" customHeight="1">
      <c r="A4" s="3" t="s">
        <v>126</v>
      </c>
      <c r="B4" s="4" t="s">
        <v>15</v>
      </c>
      <c r="C4" s="8" t="s">
        <v>197</v>
      </c>
      <c r="D4" t="b">
        <f t="shared" si="0"/>
        <v>1</v>
      </c>
      <c r="E4" s="7" t="s">
        <v>15</v>
      </c>
    </row>
    <row r="5" spans="1:5" ht="13.5" customHeight="1">
      <c r="A5" s="3" t="s">
        <v>127</v>
      </c>
      <c r="B5" s="4" t="s">
        <v>97</v>
      </c>
      <c r="C5" s="8" t="s">
        <v>198</v>
      </c>
      <c r="D5" t="b">
        <f t="shared" si="0"/>
        <v>1</v>
      </c>
      <c r="E5" s="7" t="s">
        <v>97</v>
      </c>
    </row>
    <row r="6" spans="1:5" ht="13.5" customHeight="1">
      <c r="A6" s="3" t="s">
        <v>128</v>
      </c>
      <c r="B6" s="4" t="s">
        <v>17</v>
      </c>
      <c r="C6" s="8" t="s">
        <v>199</v>
      </c>
      <c r="D6" t="b">
        <f t="shared" si="0"/>
        <v>1</v>
      </c>
      <c r="E6" s="7" t="s">
        <v>17</v>
      </c>
    </row>
    <row r="7" spans="1:5" ht="13.5" customHeight="1">
      <c r="A7" s="3" t="s">
        <v>129</v>
      </c>
      <c r="B7" s="4" t="s">
        <v>260</v>
      </c>
      <c r="C7" s="8" t="s">
        <v>200</v>
      </c>
      <c r="D7" t="b">
        <f t="shared" si="0"/>
        <v>1</v>
      </c>
      <c r="E7" s="7" t="s">
        <v>260</v>
      </c>
    </row>
    <row r="8" spans="1:5" ht="13.5" customHeight="1">
      <c r="A8" s="3" t="s">
        <v>130</v>
      </c>
      <c r="B8" s="4" t="s">
        <v>261</v>
      </c>
      <c r="C8" s="8" t="s">
        <v>201</v>
      </c>
      <c r="D8" t="b">
        <f t="shared" si="0"/>
        <v>1</v>
      </c>
      <c r="E8" s="7" t="s">
        <v>261</v>
      </c>
    </row>
    <row r="9" spans="1:5" ht="13.5" customHeight="1">
      <c r="A9" s="3" t="s">
        <v>131</v>
      </c>
      <c r="B9" s="4" t="s">
        <v>20</v>
      </c>
      <c r="C9" s="8" t="s">
        <v>202</v>
      </c>
      <c r="D9" t="b">
        <f t="shared" si="0"/>
        <v>1</v>
      </c>
      <c r="E9" s="7" t="s">
        <v>20</v>
      </c>
    </row>
    <row r="10" spans="1:5" ht="13.5" customHeight="1">
      <c r="A10" s="3" t="s">
        <v>132</v>
      </c>
      <c r="B10" s="4" t="s">
        <v>22</v>
      </c>
      <c r="C10" s="8" t="s">
        <v>203</v>
      </c>
      <c r="D10" t="b">
        <f t="shared" si="0"/>
        <v>1</v>
      </c>
      <c r="E10" s="7" t="s">
        <v>22</v>
      </c>
    </row>
    <row r="11" spans="1:5" ht="13.5" customHeight="1">
      <c r="A11" s="3" t="s">
        <v>133</v>
      </c>
      <c r="B11" s="4" t="s">
        <v>24</v>
      </c>
      <c r="C11" s="8" t="s">
        <v>204</v>
      </c>
      <c r="D11" t="b">
        <f t="shared" si="0"/>
        <v>1</v>
      </c>
      <c r="E11" s="7" t="s">
        <v>24</v>
      </c>
    </row>
    <row r="12" spans="1:5" ht="13.5" customHeight="1">
      <c r="A12" s="3" t="s">
        <v>134</v>
      </c>
      <c r="B12" s="4" t="s">
        <v>26</v>
      </c>
      <c r="C12" s="8" t="s">
        <v>205</v>
      </c>
      <c r="D12" t="b">
        <f t="shared" si="0"/>
        <v>1</v>
      </c>
      <c r="E12" s="7" t="s">
        <v>26</v>
      </c>
    </row>
    <row r="13" spans="1:5" ht="13.5" customHeight="1">
      <c r="A13" s="3" t="s">
        <v>135</v>
      </c>
      <c r="B13" s="4" t="s">
        <v>28</v>
      </c>
      <c r="C13" s="8" t="s">
        <v>206</v>
      </c>
      <c r="D13" t="b">
        <f t="shared" si="0"/>
        <v>1</v>
      </c>
      <c r="E13" s="7" t="s">
        <v>28</v>
      </c>
    </row>
    <row r="14" spans="1:5" ht="13.5" customHeight="1">
      <c r="A14" s="3" t="s">
        <v>136</v>
      </c>
      <c r="B14" s="4" t="s">
        <v>30</v>
      </c>
      <c r="C14" s="8" t="s">
        <v>207</v>
      </c>
      <c r="D14" t="b">
        <f t="shared" si="0"/>
        <v>1</v>
      </c>
      <c r="E14" s="7" t="s">
        <v>30</v>
      </c>
    </row>
    <row r="15" spans="1:5" ht="13.5" customHeight="1">
      <c r="A15" s="3" t="s">
        <v>137</v>
      </c>
      <c r="B15" s="4" t="s">
        <v>32</v>
      </c>
      <c r="C15" s="8" t="s">
        <v>208</v>
      </c>
      <c r="D15" t="b">
        <f t="shared" si="0"/>
        <v>1</v>
      </c>
      <c r="E15" s="7" t="s">
        <v>32</v>
      </c>
    </row>
    <row r="16" spans="1:5" ht="13.5" customHeight="1">
      <c r="A16" s="3" t="s">
        <v>129</v>
      </c>
      <c r="B16" s="4" t="s">
        <v>19</v>
      </c>
      <c r="C16" s="8" t="s">
        <v>209</v>
      </c>
      <c r="D16" t="b">
        <f t="shared" si="0"/>
        <v>1</v>
      </c>
      <c r="E16" s="7" t="s">
        <v>19</v>
      </c>
    </row>
    <row r="17" spans="1:5" ht="13.5" customHeight="1">
      <c r="A17" s="3" t="s">
        <v>138</v>
      </c>
      <c r="B17" s="4" t="s">
        <v>34</v>
      </c>
      <c r="C17" s="8" t="s">
        <v>210</v>
      </c>
      <c r="D17" t="b">
        <f t="shared" si="0"/>
        <v>1</v>
      </c>
      <c r="E17" s="7" t="s">
        <v>34</v>
      </c>
    </row>
    <row r="18" spans="1:5" ht="13.5" customHeight="1">
      <c r="A18" s="3" t="s">
        <v>139</v>
      </c>
      <c r="B18" s="4" t="s">
        <v>35</v>
      </c>
      <c r="C18" s="8" t="s">
        <v>211</v>
      </c>
      <c r="D18" t="b">
        <f t="shared" si="0"/>
        <v>1</v>
      </c>
      <c r="E18" s="7" t="s">
        <v>35</v>
      </c>
    </row>
    <row r="19" spans="1:5" ht="13.5" customHeight="1">
      <c r="A19" s="3" t="s">
        <v>140</v>
      </c>
      <c r="B19" s="4" t="s">
        <v>36</v>
      </c>
      <c r="C19" s="8" t="s">
        <v>212</v>
      </c>
      <c r="D19" t="b">
        <f t="shared" si="0"/>
        <v>1</v>
      </c>
      <c r="E19" s="7" t="s">
        <v>36</v>
      </c>
    </row>
    <row r="20" spans="1:5" ht="13.5" customHeight="1">
      <c r="A20" s="3" t="s">
        <v>141</v>
      </c>
      <c r="B20" s="4" t="s">
        <v>38</v>
      </c>
      <c r="C20" s="8" t="s">
        <v>213</v>
      </c>
      <c r="D20" t="b">
        <f t="shared" si="0"/>
        <v>1</v>
      </c>
      <c r="E20" s="7" t="s">
        <v>38</v>
      </c>
    </row>
    <row r="21" spans="1:5" ht="13.5" customHeight="1">
      <c r="A21" s="3" t="s">
        <v>142</v>
      </c>
      <c r="B21" s="4" t="s">
        <v>40</v>
      </c>
      <c r="C21" s="8" t="s">
        <v>214</v>
      </c>
      <c r="D21" t="b">
        <f t="shared" si="0"/>
        <v>1</v>
      </c>
      <c r="E21" s="7" t="s">
        <v>40</v>
      </c>
    </row>
    <row r="22" spans="1:5" ht="13.5" customHeight="1">
      <c r="A22" s="3" t="s">
        <v>143</v>
      </c>
      <c r="B22" s="4" t="s">
        <v>42</v>
      </c>
      <c r="C22" s="8" t="s">
        <v>215</v>
      </c>
      <c r="D22" t="b">
        <f t="shared" si="0"/>
        <v>1</v>
      </c>
      <c r="E22" s="7" t="s">
        <v>42</v>
      </c>
    </row>
    <row r="23" spans="1:5" ht="13.5" customHeight="1">
      <c r="A23" s="3" t="s">
        <v>144</v>
      </c>
      <c r="B23" s="4" t="s">
        <v>262</v>
      </c>
      <c r="C23" s="8" t="s">
        <v>216</v>
      </c>
      <c r="D23" t="b">
        <f t="shared" si="0"/>
        <v>0</v>
      </c>
      <c r="E23" s="7" t="s">
        <v>43</v>
      </c>
    </row>
    <row r="24" spans="1:5" ht="13.5" customHeight="1">
      <c r="A24" s="3" t="s">
        <v>145</v>
      </c>
      <c r="B24" s="4" t="s">
        <v>146</v>
      </c>
      <c r="C24" s="8" t="s">
        <v>217</v>
      </c>
      <c r="D24" t="b">
        <f t="shared" si="0"/>
        <v>0</v>
      </c>
      <c r="E24" s="7" t="s">
        <v>100</v>
      </c>
    </row>
    <row r="25" spans="1:5" ht="13.5" customHeight="1">
      <c r="A25" s="3" t="s">
        <v>147</v>
      </c>
      <c r="B25" s="4" t="s">
        <v>148</v>
      </c>
      <c r="C25" s="8" t="s">
        <v>218</v>
      </c>
      <c r="D25" t="b">
        <f t="shared" si="0"/>
        <v>0</v>
      </c>
      <c r="E25" s="7" t="s">
        <v>46</v>
      </c>
    </row>
    <row r="26" spans="1:5" ht="13.5" customHeight="1">
      <c r="A26" s="3" t="s">
        <v>149</v>
      </c>
      <c r="B26" s="4" t="s">
        <v>150</v>
      </c>
      <c r="C26" s="8" t="s">
        <v>219</v>
      </c>
      <c r="D26" t="b">
        <f t="shared" si="0"/>
        <v>0</v>
      </c>
      <c r="E26" s="7" t="s">
        <v>99</v>
      </c>
    </row>
    <row r="27" spans="1:5" ht="13.5" customHeight="1">
      <c r="A27" s="3" t="s">
        <v>151</v>
      </c>
      <c r="B27" s="4" t="s">
        <v>48</v>
      </c>
      <c r="C27" s="8" t="s">
        <v>220</v>
      </c>
      <c r="D27" t="b">
        <f t="shared" si="0"/>
        <v>1</v>
      </c>
      <c r="E27" s="7" t="s">
        <v>48</v>
      </c>
    </row>
    <row r="28" spans="1:5" ht="13.5" customHeight="1">
      <c r="A28" s="3" t="s">
        <v>152</v>
      </c>
      <c r="B28" s="4" t="s">
        <v>50</v>
      </c>
      <c r="C28" s="8" t="s">
        <v>221</v>
      </c>
      <c r="D28" t="b">
        <f t="shared" si="0"/>
        <v>1</v>
      </c>
      <c r="E28" s="7" t="s">
        <v>50</v>
      </c>
    </row>
    <row r="29" spans="1:5" ht="13.5" customHeight="1">
      <c r="A29" s="3" t="s">
        <v>153</v>
      </c>
      <c r="B29" s="4" t="s">
        <v>52</v>
      </c>
      <c r="C29" s="8" t="s">
        <v>222</v>
      </c>
      <c r="D29" t="b">
        <f t="shared" si="0"/>
        <v>1</v>
      </c>
      <c r="E29" s="7" t="s">
        <v>52</v>
      </c>
    </row>
    <row r="30" spans="1:5" ht="13.5" customHeight="1">
      <c r="A30" s="3" t="s">
        <v>154</v>
      </c>
      <c r="B30" s="4" t="s">
        <v>53</v>
      </c>
      <c r="C30" s="8" t="s">
        <v>223</v>
      </c>
      <c r="D30" t="b">
        <f t="shared" si="0"/>
        <v>1</v>
      </c>
      <c r="E30" s="7" t="s">
        <v>53</v>
      </c>
    </row>
    <row r="31" spans="1:5" ht="13.5" customHeight="1">
      <c r="A31" s="3" t="s">
        <v>155</v>
      </c>
      <c r="B31" s="4" t="s">
        <v>54</v>
      </c>
      <c r="C31" s="8" t="s">
        <v>224</v>
      </c>
      <c r="D31" t="b">
        <f t="shared" si="0"/>
        <v>1</v>
      </c>
      <c r="E31" s="7" t="s">
        <v>54</v>
      </c>
    </row>
    <row r="32" spans="1:5" ht="13.5" customHeight="1">
      <c r="A32" s="3" t="s">
        <v>156</v>
      </c>
      <c r="B32" s="4" t="s">
        <v>55</v>
      </c>
      <c r="C32" s="8" t="s">
        <v>225</v>
      </c>
      <c r="D32" t="b">
        <f t="shared" si="0"/>
        <v>1</v>
      </c>
      <c r="E32" s="7" t="s">
        <v>55</v>
      </c>
    </row>
    <row r="33" spans="1:5" ht="13.5" customHeight="1">
      <c r="A33" s="3" t="s">
        <v>157</v>
      </c>
      <c r="B33" s="4" t="s">
        <v>57</v>
      </c>
      <c r="C33" s="8" t="s">
        <v>226</v>
      </c>
      <c r="D33" t="b">
        <f t="shared" si="0"/>
        <v>1</v>
      </c>
      <c r="E33" s="7" t="s">
        <v>57</v>
      </c>
    </row>
    <row r="34" spans="1:5" ht="13.5" customHeight="1">
      <c r="A34" s="3" t="s">
        <v>158</v>
      </c>
      <c r="B34" s="4" t="s">
        <v>59</v>
      </c>
      <c r="C34" s="8" t="s">
        <v>227</v>
      </c>
      <c r="D34" t="b">
        <f t="shared" si="0"/>
        <v>1</v>
      </c>
      <c r="E34" s="7" t="s">
        <v>59</v>
      </c>
    </row>
    <row r="35" spans="1:5" ht="13.5" customHeight="1">
      <c r="A35" s="3" t="s">
        <v>259</v>
      </c>
      <c r="B35" s="4"/>
      <c r="C35" s="8" t="s">
        <v>228</v>
      </c>
      <c r="D35" t="b">
        <f t="shared" si="0"/>
        <v>0</v>
      </c>
      <c r="E35" s="7" t="s">
        <v>256</v>
      </c>
    </row>
    <row r="36" spans="1:5" ht="13.5" customHeight="1">
      <c r="A36" s="3" t="s">
        <v>159</v>
      </c>
      <c r="B36" s="4" t="s">
        <v>60</v>
      </c>
      <c r="C36" s="8" t="s">
        <v>229</v>
      </c>
      <c r="D36" t="b">
        <f t="shared" si="0"/>
        <v>1</v>
      </c>
      <c r="E36" s="7" t="s">
        <v>60</v>
      </c>
    </row>
    <row r="37" spans="1:5" ht="13.5" customHeight="1">
      <c r="A37" s="3" t="s">
        <v>160</v>
      </c>
      <c r="B37" s="4" t="s">
        <v>62</v>
      </c>
      <c r="C37" s="8" t="s">
        <v>230</v>
      </c>
      <c r="D37" t="b">
        <f t="shared" si="0"/>
        <v>1</v>
      </c>
      <c r="E37" s="7" t="s">
        <v>62</v>
      </c>
    </row>
    <row r="38" spans="1:5" ht="13.5" customHeight="1">
      <c r="A38" s="3" t="s">
        <v>161</v>
      </c>
      <c r="B38" s="4" t="s">
        <v>63</v>
      </c>
      <c r="C38" s="8" t="s">
        <v>231</v>
      </c>
      <c r="D38" t="b">
        <f t="shared" si="0"/>
        <v>1</v>
      </c>
      <c r="E38" s="7" t="s">
        <v>63</v>
      </c>
    </row>
    <row r="39" spans="1:5" ht="13.5" customHeight="1">
      <c r="A39" s="3" t="s">
        <v>162</v>
      </c>
      <c r="B39" s="4" t="s">
        <v>65</v>
      </c>
      <c r="C39" s="8" t="s">
        <v>232</v>
      </c>
      <c r="D39" t="b">
        <f t="shared" si="0"/>
        <v>1</v>
      </c>
      <c r="E39" s="7" t="s">
        <v>65</v>
      </c>
    </row>
    <row r="40" spans="1:5" ht="13.5" customHeight="1">
      <c r="A40" s="3" t="s">
        <v>163</v>
      </c>
      <c r="B40" s="4" t="s">
        <v>164</v>
      </c>
      <c r="C40" s="8" t="s">
        <v>233</v>
      </c>
      <c r="D40" t="b">
        <f t="shared" si="0"/>
        <v>0</v>
      </c>
      <c r="E40" s="7" t="s">
        <v>67</v>
      </c>
    </row>
    <row r="41" spans="1:5" ht="13.5" customHeight="1">
      <c r="A41" s="3" t="s">
        <v>165</v>
      </c>
      <c r="B41" s="4" t="s">
        <v>166</v>
      </c>
      <c r="C41" s="8" t="s">
        <v>234</v>
      </c>
      <c r="D41" t="b">
        <f t="shared" si="0"/>
        <v>0</v>
      </c>
      <c r="E41" s="7" t="s">
        <v>69</v>
      </c>
    </row>
    <row r="42" spans="1:5" ht="13.5" customHeight="1">
      <c r="A42" s="3" t="s">
        <v>167</v>
      </c>
      <c r="B42" s="4" t="s">
        <v>168</v>
      </c>
      <c r="C42" s="8" t="s">
        <v>235</v>
      </c>
      <c r="D42" t="b">
        <f t="shared" si="0"/>
        <v>0</v>
      </c>
      <c r="E42" s="7" t="s">
        <v>71</v>
      </c>
    </row>
    <row r="43" spans="1:5" ht="13.5" customHeight="1">
      <c r="A43" s="3" t="s">
        <v>258</v>
      </c>
      <c r="B43" s="4" t="s">
        <v>171</v>
      </c>
      <c r="C43" s="8" t="s">
        <v>236</v>
      </c>
      <c r="D43" t="b">
        <f t="shared" si="0"/>
        <v>0</v>
      </c>
      <c r="E43" s="7" t="s">
        <v>191</v>
      </c>
    </row>
    <row r="44" spans="1:5" ht="13.5" customHeight="1">
      <c r="A44" s="3" t="s">
        <v>169</v>
      </c>
      <c r="B44" s="4" t="s">
        <v>170</v>
      </c>
      <c r="C44" s="8" t="s">
        <v>237</v>
      </c>
      <c r="D44" t="b">
        <f t="shared" si="0"/>
        <v>0</v>
      </c>
      <c r="E44" s="7" t="s">
        <v>73</v>
      </c>
    </row>
    <row r="45" spans="1:5" ht="13.5" customHeight="1">
      <c r="A45" s="3" t="s">
        <v>172</v>
      </c>
      <c r="B45" s="4" t="s">
        <v>74</v>
      </c>
      <c r="C45" s="8" t="s">
        <v>238</v>
      </c>
      <c r="D45" t="b">
        <f t="shared" si="0"/>
        <v>1</v>
      </c>
      <c r="E45" s="7" t="s">
        <v>74</v>
      </c>
    </row>
    <row r="46" spans="1:5" ht="13.5" customHeight="1">
      <c r="A46" s="3" t="s">
        <v>173</v>
      </c>
      <c r="B46" s="4" t="s">
        <v>76</v>
      </c>
      <c r="C46" s="8" t="s">
        <v>239</v>
      </c>
      <c r="D46" t="b">
        <f t="shared" si="0"/>
        <v>1</v>
      </c>
      <c r="E46" s="7" t="s">
        <v>76</v>
      </c>
    </row>
    <row r="47" spans="1:5" ht="13.5" customHeight="1">
      <c r="A47" s="3" t="s">
        <v>174</v>
      </c>
      <c r="B47" s="4" t="s">
        <v>175</v>
      </c>
      <c r="C47" s="8" t="s">
        <v>240</v>
      </c>
      <c r="D47" t="b">
        <f t="shared" si="0"/>
        <v>0</v>
      </c>
      <c r="E47" s="7" t="s">
        <v>77</v>
      </c>
    </row>
    <row r="48" spans="1:5" ht="13.5" customHeight="1">
      <c r="A48" s="3" t="s">
        <v>172</v>
      </c>
      <c r="B48" s="4" t="s">
        <v>74</v>
      </c>
      <c r="C48" s="8" t="s">
        <v>241</v>
      </c>
      <c r="D48" t="b">
        <f t="shared" si="0"/>
        <v>1</v>
      </c>
      <c r="E48" s="7" t="s">
        <v>74</v>
      </c>
    </row>
    <row r="49" spans="1:5" ht="13.5" customHeight="1">
      <c r="A49" s="3" t="s">
        <v>176</v>
      </c>
      <c r="B49" s="4" t="s">
        <v>79</v>
      </c>
      <c r="C49" s="8" t="s">
        <v>242</v>
      </c>
      <c r="D49" t="b">
        <f t="shared" si="0"/>
        <v>1</v>
      </c>
      <c r="E49" s="7" t="s">
        <v>79</v>
      </c>
    </row>
    <row r="50" spans="1:5" ht="13.5" customHeight="1">
      <c r="A50" s="3" t="s">
        <v>177</v>
      </c>
      <c r="B50" s="4" t="s">
        <v>81</v>
      </c>
      <c r="C50" s="8" t="s">
        <v>243</v>
      </c>
      <c r="D50" t="b">
        <f t="shared" si="0"/>
        <v>1</v>
      </c>
      <c r="E50" s="7" t="s">
        <v>81</v>
      </c>
    </row>
    <row r="51" spans="1:5" ht="13.5" customHeight="1">
      <c r="A51" s="3" t="s">
        <v>178</v>
      </c>
      <c r="B51" s="4" t="s">
        <v>179</v>
      </c>
      <c r="C51" s="8" t="s">
        <v>244</v>
      </c>
      <c r="D51" t="b">
        <f t="shared" si="0"/>
        <v>0</v>
      </c>
      <c r="E51" s="7" t="s">
        <v>83</v>
      </c>
    </row>
    <row r="52" spans="1:5" ht="13.5" customHeight="1">
      <c r="A52" s="3" t="s">
        <v>180</v>
      </c>
      <c r="B52" s="4" t="s">
        <v>84</v>
      </c>
      <c r="C52" s="8" t="s">
        <v>245</v>
      </c>
      <c r="D52" t="b">
        <f t="shared" si="0"/>
        <v>1</v>
      </c>
      <c r="E52" s="7" t="s">
        <v>84</v>
      </c>
    </row>
    <row r="53" spans="1:5" ht="13.5" customHeight="1">
      <c r="A53" s="3" t="s">
        <v>181</v>
      </c>
      <c r="B53" s="4" t="s">
        <v>182</v>
      </c>
      <c r="C53" s="8" t="s">
        <v>246</v>
      </c>
      <c r="D53" t="b">
        <f t="shared" si="0"/>
        <v>0</v>
      </c>
      <c r="E53" s="7" t="s">
        <v>85</v>
      </c>
    </row>
    <row r="54" spans="1:5" ht="13.5" customHeight="1">
      <c r="A54" s="3" t="s">
        <v>180</v>
      </c>
      <c r="B54" s="4" t="s">
        <v>84</v>
      </c>
      <c r="C54" s="8" t="s">
        <v>247</v>
      </c>
      <c r="D54" t="b">
        <f t="shared" si="0"/>
        <v>1</v>
      </c>
      <c r="E54" s="7" t="s">
        <v>84</v>
      </c>
    </row>
    <row r="55" spans="1:5" ht="13.5" customHeight="1">
      <c r="A55" s="3" t="s">
        <v>181</v>
      </c>
      <c r="B55" s="4" t="s">
        <v>182</v>
      </c>
      <c r="C55" s="8" t="s">
        <v>248</v>
      </c>
      <c r="D55" t="b">
        <f t="shared" si="0"/>
        <v>0</v>
      </c>
      <c r="E55" s="7" t="s">
        <v>85</v>
      </c>
    </row>
    <row r="56" spans="1:5" ht="13.5" customHeight="1">
      <c r="A56" s="3" t="s">
        <v>183</v>
      </c>
      <c r="B56" s="4" t="s">
        <v>87</v>
      </c>
      <c r="C56" s="8" t="s">
        <v>249</v>
      </c>
      <c r="D56" t="b">
        <f t="shared" si="0"/>
        <v>1</v>
      </c>
      <c r="E56" s="7" t="s">
        <v>87</v>
      </c>
    </row>
    <row r="57" spans="1:5" ht="13.5" customHeight="1">
      <c r="A57" s="3" t="s">
        <v>184</v>
      </c>
      <c r="B57" s="4" t="s">
        <v>89</v>
      </c>
      <c r="C57" s="8" t="s">
        <v>250</v>
      </c>
      <c r="D57" t="b">
        <f t="shared" si="0"/>
        <v>1</v>
      </c>
      <c r="E57" s="7" t="s">
        <v>89</v>
      </c>
    </row>
    <row r="58" spans="1:5" ht="13.5" customHeight="1">
      <c r="A58" s="3" t="s">
        <v>185</v>
      </c>
      <c r="B58" s="4" t="s">
        <v>186</v>
      </c>
      <c r="C58" s="8" t="s">
        <v>251</v>
      </c>
      <c r="D58" t="b">
        <f t="shared" si="0"/>
        <v>0</v>
      </c>
      <c r="E58" s="7" t="s">
        <v>90</v>
      </c>
    </row>
    <row r="59" spans="1:5" ht="13.5" customHeight="1">
      <c r="A59" s="3" t="s">
        <v>187</v>
      </c>
      <c r="B59" s="4" t="s">
        <v>92</v>
      </c>
      <c r="C59" s="8" t="s">
        <v>253</v>
      </c>
      <c r="D59" t="b">
        <f t="shared" si="0"/>
        <v>1</v>
      </c>
      <c r="E59" s="7" t="s">
        <v>92</v>
      </c>
    </row>
    <row r="60" spans="1:5" ht="13.5" customHeight="1">
      <c r="A60" s="3" t="s">
        <v>187</v>
      </c>
      <c r="B60" s="4" t="s">
        <v>93</v>
      </c>
      <c r="C60" s="8" t="s">
        <v>254</v>
      </c>
      <c r="D60" t="b">
        <f t="shared" si="0"/>
        <v>1</v>
      </c>
      <c r="E60" s="7" t="s">
        <v>93</v>
      </c>
    </row>
    <row r="61" spans="1:5" ht="13.5" customHeight="1">
      <c r="A61" s="3" t="s">
        <v>188</v>
      </c>
      <c r="B61" s="4" t="s">
        <v>189</v>
      </c>
      <c r="C61" s="8" t="s">
        <v>255</v>
      </c>
      <c r="D61" t="b">
        <f t="shared" si="0"/>
        <v>1</v>
      </c>
      <c r="E61" s="7" t="s">
        <v>189</v>
      </c>
    </row>
    <row r="62" spans="1:5">
      <c r="A62" s="5" t="s">
        <v>190</v>
      </c>
      <c r="B62" s="6" t="s">
        <v>94</v>
      </c>
      <c r="C62" s="8" t="s">
        <v>257</v>
      </c>
      <c r="D62" t="b">
        <f t="shared" si="0"/>
        <v>1</v>
      </c>
      <c r="E62" s="7" t="s">
        <v>94</v>
      </c>
    </row>
  </sheetData>
  <phoneticPr fontId="0" type="noConversion"/>
  <printOptions horizontalCentered="1"/>
  <pageMargins left="0" right="0" top="0.39370078740157483" bottom="0.39370078740157483" header="0.31496062992125984" footer="0.31496062992125984"/>
  <pageSetup paperSize="9"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840D-91AD-4812-85D7-95CD466329E2}">
  <dimension ref="A1:B8"/>
  <sheetViews>
    <sheetView workbookViewId="0"/>
  </sheetViews>
  <sheetFormatPr defaultRowHeight="12.75"/>
  <cols>
    <col min="1" max="1" width="15.796875" style="7" bestFit="1" customWidth="1"/>
    <col min="2" max="2" width="53" style="7" bestFit="1" customWidth="1"/>
    <col min="3" max="16384" width="9.59765625" style="7"/>
  </cols>
  <sheetData>
    <row r="1" spans="1:2">
      <c r="A1" s="7" t="s">
        <v>107</v>
      </c>
      <c r="B1" s="7" t="s">
        <v>108</v>
      </c>
    </row>
    <row r="2" spans="1:2">
      <c r="A2" s="7" t="s">
        <v>109</v>
      </c>
      <c r="B2" s="7" t="s">
        <v>110</v>
      </c>
    </row>
    <row r="3" spans="1:2">
      <c r="A3" s="7" t="s">
        <v>111</v>
      </c>
      <c r="B3" s="7" t="s">
        <v>112</v>
      </c>
    </row>
    <row r="4" spans="1:2">
      <c r="A4" s="7" t="s">
        <v>113</v>
      </c>
      <c r="B4" s="7" t="s">
        <v>114</v>
      </c>
    </row>
    <row r="5" spans="1:2">
      <c r="A5" s="7" t="s">
        <v>115</v>
      </c>
      <c r="B5" s="7" t="s">
        <v>116</v>
      </c>
    </row>
    <row r="6" spans="1:2">
      <c r="A6" s="7" t="s">
        <v>117</v>
      </c>
      <c r="B6" s="7" t="s">
        <v>118</v>
      </c>
    </row>
    <row r="7" spans="1:2">
      <c r="A7" s="7" t="s">
        <v>119</v>
      </c>
      <c r="B7" s="7" t="s">
        <v>120</v>
      </c>
    </row>
    <row r="8" spans="1:2">
      <c r="A8" s="7" t="s">
        <v>121</v>
      </c>
      <c r="B8" s="7" t="s">
        <v>122</v>
      </c>
    </row>
  </sheetData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C607-BD9D-402C-B7C8-AE3331E41D26}">
  <sheetPr>
    <pageSetUpPr fitToPage="1"/>
  </sheetPr>
  <dimension ref="A1:AC163"/>
  <sheetViews>
    <sheetView showGridLines="0" zoomScale="130" zoomScaleNormal="130" workbookViewId="0">
      <selection activeCell="N30" sqref="N30:P30"/>
    </sheetView>
  </sheetViews>
  <sheetFormatPr defaultColWidth="13" defaultRowHeight="8.25"/>
  <cols>
    <col min="1" max="1" width="22" style="11" customWidth="1"/>
    <col min="2" max="3" width="11.796875" style="11" customWidth="1"/>
    <col min="4" max="4" width="11.796875" style="25" customWidth="1"/>
    <col min="5" max="5" width="13.19921875" style="11" bestFit="1" customWidth="1"/>
    <col min="6" max="7" width="11.796875" style="11" customWidth="1"/>
    <col min="8" max="8" width="13.796875" style="11" customWidth="1"/>
    <col min="9" max="9" width="11.796875" style="11" customWidth="1"/>
    <col min="10" max="10" width="12.796875" style="11" bestFit="1" customWidth="1"/>
    <col min="11" max="11" width="11.796875" style="11" customWidth="1"/>
    <col min="12" max="12" width="60.3984375" style="11" customWidth="1"/>
    <col min="13" max="18" width="11.796875" style="11" customWidth="1"/>
    <col min="19" max="19" width="11.796875" style="25" customWidth="1"/>
    <col min="20" max="21" width="11.796875" style="11" customWidth="1"/>
    <col min="22" max="22" width="22" style="11" customWidth="1"/>
    <col min="23" max="16384" width="13" style="11"/>
  </cols>
  <sheetData>
    <row r="1" spans="1:23" s="122" customFormat="1" ht="11.25">
      <c r="A1" s="123" t="s">
        <v>411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</row>
    <row r="2" spans="1:23" ht="6" customHeight="1">
      <c r="A2" s="9"/>
      <c r="B2" s="9"/>
      <c r="C2" s="9"/>
      <c r="D2" s="12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2"/>
      <c r="T2" s="9"/>
      <c r="U2" s="9"/>
      <c r="V2" s="10"/>
    </row>
    <row r="3" spans="1:23" ht="21" customHeight="1">
      <c r="A3" s="325" t="s">
        <v>0</v>
      </c>
      <c r="B3" s="325" t="s">
        <v>1</v>
      </c>
      <c r="C3" s="333" t="s">
        <v>264</v>
      </c>
      <c r="D3" s="334"/>
      <c r="E3" s="310" t="s">
        <v>267</v>
      </c>
      <c r="F3" s="310" t="s">
        <v>285</v>
      </c>
      <c r="G3" s="310" t="s">
        <v>2</v>
      </c>
      <c r="H3" s="310" t="s">
        <v>293</v>
      </c>
      <c r="I3" s="310" t="s">
        <v>266</v>
      </c>
      <c r="J3" s="310" t="s">
        <v>265</v>
      </c>
      <c r="K3" s="325" t="s">
        <v>3</v>
      </c>
      <c r="L3" s="325" t="s">
        <v>391</v>
      </c>
      <c r="M3" s="310" t="s">
        <v>265</v>
      </c>
      <c r="N3" s="310" t="s">
        <v>266</v>
      </c>
      <c r="O3" s="310" t="s">
        <v>293</v>
      </c>
      <c r="P3" s="310" t="s">
        <v>2</v>
      </c>
      <c r="Q3" s="310" t="s">
        <v>285</v>
      </c>
      <c r="R3" s="310" t="s">
        <v>267</v>
      </c>
      <c r="S3" s="333" t="s">
        <v>264</v>
      </c>
      <c r="T3" s="334"/>
      <c r="U3" s="325" t="s">
        <v>1</v>
      </c>
      <c r="V3" s="325" t="s">
        <v>0</v>
      </c>
    </row>
    <row r="4" spans="1:23" ht="15" customHeight="1">
      <c r="A4" s="326"/>
      <c r="B4" s="326"/>
      <c r="C4" s="310" t="s">
        <v>4</v>
      </c>
      <c r="D4" s="310" t="s">
        <v>5</v>
      </c>
      <c r="E4" s="311"/>
      <c r="F4" s="311"/>
      <c r="G4" s="311"/>
      <c r="H4" s="311"/>
      <c r="I4" s="311"/>
      <c r="J4" s="311"/>
      <c r="K4" s="326"/>
      <c r="L4" s="326"/>
      <c r="M4" s="311"/>
      <c r="N4" s="311"/>
      <c r="O4" s="311"/>
      <c r="P4" s="311"/>
      <c r="Q4" s="311"/>
      <c r="R4" s="311"/>
      <c r="S4" s="310" t="s">
        <v>5</v>
      </c>
      <c r="T4" s="310" t="s">
        <v>268</v>
      </c>
      <c r="U4" s="326"/>
      <c r="V4" s="326"/>
    </row>
    <row r="5" spans="1:23" ht="15" customHeight="1">
      <c r="A5" s="326"/>
      <c r="B5" s="326"/>
      <c r="C5" s="311"/>
      <c r="D5" s="311"/>
      <c r="E5" s="311"/>
      <c r="F5" s="311"/>
      <c r="G5" s="311"/>
      <c r="H5" s="311"/>
      <c r="I5" s="311"/>
      <c r="J5" s="311"/>
      <c r="K5" s="326"/>
      <c r="L5" s="326"/>
      <c r="M5" s="311"/>
      <c r="N5" s="311"/>
      <c r="O5" s="311"/>
      <c r="P5" s="311"/>
      <c r="Q5" s="311"/>
      <c r="R5" s="311"/>
      <c r="S5" s="311"/>
      <c r="T5" s="311"/>
      <c r="U5" s="326"/>
      <c r="V5" s="326"/>
    </row>
    <row r="6" spans="1:23" ht="15" customHeight="1">
      <c r="A6" s="327"/>
      <c r="B6" s="327"/>
      <c r="C6" s="312"/>
      <c r="D6" s="312"/>
      <c r="E6" s="312"/>
      <c r="F6" s="312"/>
      <c r="G6" s="312"/>
      <c r="H6" s="312"/>
      <c r="I6" s="312"/>
      <c r="J6" s="312"/>
      <c r="K6" s="327"/>
      <c r="L6" s="327"/>
      <c r="M6" s="312"/>
      <c r="N6" s="312"/>
      <c r="O6" s="312"/>
      <c r="P6" s="312"/>
      <c r="Q6" s="312"/>
      <c r="R6" s="312"/>
      <c r="S6" s="312"/>
      <c r="T6" s="312"/>
      <c r="U6" s="327"/>
      <c r="V6" s="327"/>
    </row>
    <row r="7" spans="1:23" ht="9.75" customHeight="1">
      <c r="A7" s="41" t="s">
        <v>6</v>
      </c>
      <c r="B7" s="12"/>
      <c r="C7" s="13"/>
      <c r="D7" s="13"/>
      <c r="E7" s="13"/>
      <c r="F7" s="12"/>
      <c r="G7" s="12"/>
      <c r="H7" s="13"/>
      <c r="I7" s="13"/>
      <c r="J7" s="13"/>
      <c r="K7" s="77"/>
      <c r="L7" s="77"/>
      <c r="M7" s="55" t="s">
        <v>6</v>
      </c>
      <c r="N7" s="13"/>
      <c r="O7" s="13"/>
      <c r="P7" s="12"/>
      <c r="Q7" s="12"/>
      <c r="R7" s="13"/>
      <c r="S7" s="13"/>
      <c r="T7" s="13"/>
      <c r="U7" s="12"/>
      <c r="V7" s="14"/>
    </row>
    <row r="8" spans="1:23" ht="9.75" customHeight="1" thickBot="1">
      <c r="A8" s="42" t="s">
        <v>7</v>
      </c>
      <c r="B8" s="15"/>
      <c r="C8" s="15"/>
      <c r="D8" s="15"/>
      <c r="E8" s="16"/>
      <c r="F8" s="15"/>
      <c r="G8" s="63">
        <v>5034849</v>
      </c>
      <c r="H8" s="63">
        <v>1039939</v>
      </c>
      <c r="I8" s="15"/>
      <c r="J8" s="15"/>
      <c r="K8" s="78"/>
      <c r="L8" s="78"/>
      <c r="M8" s="56" t="s">
        <v>283</v>
      </c>
      <c r="N8" s="15"/>
      <c r="O8" s="15"/>
      <c r="P8" s="15"/>
      <c r="Q8" s="15"/>
      <c r="R8" s="16"/>
      <c r="S8" s="15"/>
      <c r="T8" s="15"/>
      <c r="U8" s="15"/>
      <c r="V8" s="17"/>
    </row>
    <row r="9" spans="1:23" ht="9.4" customHeight="1" thickTop="1">
      <c r="A9" s="354" t="s">
        <v>282</v>
      </c>
      <c r="B9" s="18">
        <v>1206009</v>
      </c>
      <c r="C9" s="18">
        <v>1206009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9" t="s">
        <v>8</v>
      </c>
      <c r="L9" s="20" t="s">
        <v>9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1206009</v>
      </c>
      <c r="T9" s="18">
        <v>0</v>
      </c>
      <c r="U9" s="18">
        <v>1206009</v>
      </c>
      <c r="V9" s="319" t="s">
        <v>282</v>
      </c>
    </row>
    <row r="10" spans="1:23" ht="9.4" customHeight="1">
      <c r="A10" s="355"/>
      <c r="B10" s="21">
        <v>1252049</v>
      </c>
      <c r="C10" s="21">
        <v>0</v>
      </c>
      <c r="D10" s="21">
        <v>1252049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2" t="s">
        <v>10</v>
      </c>
      <c r="L10" s="23" t="s">
        <v>11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1252049</v>
      </c>
      <c r="U10" s="21">
        <v>1252049</v>
      </c>
      <c r="V10" s="320"/>
    </row>
    <row r="11" spans="1:23" ht="9.4" customHeight="1">
      <c r="A11" s="355"/>
      <c r="B11" s="81">
        <v>13306199</v>
      </c>
      <c r="C11" s="21">
        <v>13306199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2" t="s">
        <v>12</v>
      </c>
      <c r="L11" s="23" t="s">
        <v>13</v>
      </c>
      <c r="M11" s="21">
        <v>8940104</v>
      </c>
      <c r="N11" s="21">
        <v>695746</v>
      </c>
      <c r="O11" s="21">
        <v>1537130</v>
      </c>
      <c r="P11" s="21">
        <v>1961389</v>
      </c>
      <c r="Q11" s="21">
        <v>171830</v>
      </c>
      <c r="R11" s="21">
        <v>13306199</v>
      </c>
      <c r="S11" s="21">
        <v>0</v>
      </c>
      <c r="T11" s="21">
        <v>0</v>
      </c>
      <c r="U11" s="21">
        <v>13306199</v>
      </c>
      <c r="V11" s="320"/>
    </row>
    <row r="12" spans="1:23" ht="9.4" customHeight="1">
      <c r="A12" s="355"/>
      <c r="B12" s="21">
        <v>11007523</v>
      </c>
      <c r="C12" s="21">
        <v>11007523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2" t="s">
        <v>14</v>
      </c>
      <c r="L12" s="23" t="s">
        <v>15</v>
      </c>
      <c r="M12" s="21">
        <v>8865336</v>
      </c>
      <c r="N12" s="21">
        <v>692217</v>
      </c>
      <c r="O12" s="21">
        <v>47224</v>
      </c>
      <c r="P12" s="21">
        <v>1335972</v>
      </c>
      <c r="Q12" s="21">
        <v>66774</v>
      </c>
      <c r="R12" s="21">
        <v>11007523</v>
      </c>
      <c r="S12" s="21">
        <v>0</v>
      </c>
      <c r="T12" s="21">
        <v>0</v>
      </c>
      <c r="U12" s="21">
        <v>11007523</v>
      </c>
      <c r="V12" s="320"/>
    </row>
    <row r="13" spans="1:23" ht="9.4" customHeight="1">
      <c r="A13" s="355"/>
      <c r="B13" s="21">
        <v>2298676</v>
      </c>
      <c r="C13" s="21">
        <v>2298676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2" t="s">
        <v>287</v>
      </c>
      <c r="L13" s="23" t="s">
        <v>97</v>
      </c>
      <c r="M13" s="21">
        <v>74768</v>
      </c>
      <c r="N13" s="21">
        <v>3529</v>
      </c>
      <c r="O13" s="21">
        <v>1489906</v>
      </c>
      <c r="P13" s="21">
        <v>625417</v>
      </c>
      <c r="Q13" s="21">
        <v>105056</v>
      </c>
      <c r="R13" s="21">
        <v>2298676</v>
      </c>
      <c r="S13" s="21">
        <v>0</v>
      </c>
      <c r="T13" s="21">
        <v>0</v>
      </c>
      <c r="U13" s="21">
        <v>2298676</v>
      </c>
      <c r="V13" s="320"/>
    </row>
    <row r="14" spans="1:23" ht="9.4" customHeight="1">
      <c r="A14" s="355"/>
      <c r="B14" s="21">
        <v>6711262</v>
      </c>
      <c r="C14" s="21">
        <v>0</v>
      </c>
      <c r="D14" s="21">
        <v>0</v>
      </c>
      <c r="E14" s="21">
        <v>6711262</v>
      </c>
      <c r="F14" s="21">
        <v>107730</v>
      </c>
      <c r="G14" s="21">
        <v>610289</v>
      </c>
      <c r="H14" s="21">
        <v>390230</v>
      </c>
      <c r="I14" s="21">
        <v>244573</v>
      </c>
      <c r="J14" s="21">
        <v>5358440</v>
      </c>
      <c r="K14" s="22" t="s">
        <v>16</v>
      </c>
      <c r="L14" s="23" t="s">
        <v>17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6711262</v>
      </c>
      <c r="U14" s="21">
        <v>6711262</v>
      </c>
      <c r="V14" s="320"/>
    </row>
    <row r="15" spans="1:23" ht="9.4" customHeight="1" thickBot="1">
      <c r="A15" s="355"/>
      <c r="B15" s="21">
        <v>1014660</v>
      </c>
      <c r="C15" s="24">
        <v>1014660</v>
      </c>
      <c r="D15" s="21">
        <v>0</v>
      </c>
      <c r="E15" s="25">
        <v>0</v>
      </c>
      <c r="F15" s="21">
        <v>0</v>
      </c>
      <c r="G15" s="21">
        <v>0</v>
      </c>
      <c r="H15" s="25">
        <v>0</v>
      </c>
      <c r="I15" s="21">
        <v>0</v>
      </c>
      <c r="J15" s="21">
        <v>0</v>
      </c>
      <c r="K15" s="22" t="s">
        <v>18</v>
      </c>
      <c r="L15" s="23" t="s">
        <v>19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1014660</v>
      </c>
      <c r="S15" s="26">
        <v>0</v>
      </c>
      <c r="T15" s="26">
        <v>0</v>
      </c>
      <c r="U15" s="26">
        <v>1014660</v>
      </c>
      <c r="V15" s="321"/>
    </row>
    <row r="16" spans="1:23" s="62" customFormat="1" ht="9.4" customHeight="1" thickTop="1">
      <c r="A16" s="355"/>
      <c r="B16" s="59">
        <v>7609597</v>
      </c>
      <c r="C16" s="59">
        <v>0</v>
      </c>
      <c r="D16" s="59">
        <v>0</v>
      </c>
      <c r="E16" s="60">
        <v>7609597</v>
      </c>
      <c r="F16" s="59">
        <v>64100</v>
      </c>
      <c r="G16" s="59">
        <v>1351100</v>
      </c>
      <c r="H16" s="59">
        <v>1146900</v>
      </c>
      <c r="I16" s="59">
        <v>451173</v>
      </c>
      <c r="J16" s="59">
        <v>3581664</v>
      </c>
      <c r="K16" s="45" t="s">
        <v>269</v>
      </c>
      <c r="L16" s="46" t="s">
        <v>98</v>
      </c>
      <c r="M16" s="61">
        <v>3581664</v>
      </c>
      <c r="N16" s="61">
        <v>451173</v>
      </c>
      <c r="O16" s="61">
        <v>1146900</v>
      </c>
      <c r="P16" s="61">
        <v>1351100</v>
      </c>
      <c r="Q16" s="61">
        <v>64100</v>
      </c>
      <c r="R16" s="61">
        <v>7609597</v>
      </c>
      <c r="S16" s="61">
        <v>0</v>
      </c>
      <c r="T16" s="61">
        <v>0</v>
      </c>
      <c r="U16" s="61">
        <v>7609597</v>
      </c>
      <c r="V16" s="331" t="s">
        <v>101</v>
      </c>
      <c r="W16" s="11"/>
    </row>
    <row r="17" spans="1:23" s="62" customFormat="1" ht="9.4" customHeight="1" thickBot="1">
      <c r="A17" s="356"/>
      <c r="B17" s="63">
        <v>-46040</v>
      </c>
      <c r="C17" s="63">
        <v>0</v>
      </c>
      <c r="D17" s="63">
        <v>-46040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45" t="s">
        <v>270</v>
      </c>
      <c r="L17" s="46" t="s">
        <v>20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-46040</v>
      </c>
      <c r="T17" s="63">
        <v>0</v>
      </c>
      <c r="U17" s="63">
        <v>-46040</v>
      </c>
      <c r="V17" s="332"/>
      <c r="W17" s="11"/>
    </row>
    <row r="18" spans="1:23" ht="9.4" customHeight="1" thickTop="1">
      <c r="A18" s="351" t="s">
        <v>101</v>
      </c>
      <c r="B18" s="21">
        <v>3193644</v>
      </c>
      <c r="C18" s="21">
        <v>0</v>
      </c>
      <c r="D18" s="21">
        <v>1301</v>
      </c>
      <c r="E18" s="21">
        <v>3192343</v>
      </c>
      <c r="F18" s="21">
        <v>58323</v>
      </c>
      <c r="G18" s="21">
        <v>125701</v>
      </c>
      <c r="H18" s="21">
        <v>1029004</v>
      </c>
      <c r="I18" s="21">
        <v>181149</v>
      </c>
      <c r="J18" s="21">
        <v>1798166</v>
      </c>
      <c r="K18" s="28" t="s">
        <v>21</v>
      </c>
      <c r="L18" s="29" t="s">
        <v>22</v>
      </c>
      <c r="M18" s="18">
        <v>0</v>
      </c>
      <c r="N18" s="18">
        <v>0</v>
      </c>
      <c r="O18" s="18">
        <v>0</v>
      </c>
      <c r="P18" s="18">
        <v>3192936</v>
      </c>
      <c r="Q18" s="18">
        <v>0</v>
      </c>
      <c r="R18" s="18">
        <v>3192936</v>
      </c>
      <c r="S18" s="18">
        <v>708</v>
      </c>
      <c r="T18" s="18">
        <v>0</v>
      </c>
      <c r="U18" s="18">
        <v>3193644</v>
      </c>
      <c r="V18" s="322" t="s">
        <v>281</v>
      </c>
    </row>
    <row r="19" spans="1:23" ht="9.4" customHeight="1">
      <c r="A19" s="352"/>
      <c r="B19" s="21">
        <v>2533262</v>
      </c>
      <c r="C19" s="21">
        <v>0</v>
      </c>
      <c r="D19" s="21">
        <v>1301</v>
      </c>
      <c r="E19" s="21">
        <v>2531961</v>
      </c>
      <c r="F19" s="21">
        <v>49516</v>
      </c>
      <c r="G19" s="21">
        <v>122479</v>
      </c>
      <c r="H19" s="21">
        <v>780730</v>
      </c>
      <c r="I19" s="21">
        <v>140138</v>
      </c>
      <c r="J19" s="21">
        <v>1439098</v>
      </c>
      <c r="K19" s="22" t="s">
        <v>23</v>
      </c>
      <c r="L19" s="23" t="s">
        <v>389</v>
      </c>
      <c r="M19" s="21">
        <v>0</v>
      </c>
      <c r="N19" s="21">
        <v>0</v>
      </c>
      <c r="O19" s="21">
        <v>0</v>
      </c>
      <c r="P19" s="21">
        <v>2532554</v>
      </c>
      <c r="Q19" s="21">
        <v>0</v>
      </c>
      <c r="R19" s="21">
        <v>2532554</v>
      </c>
      <c r="S19" s="21">
        <v>708</v>
      </c>
      <c r="T19" s="21">
        <v>0</v>
      </c>
      <c r="U19" s="21">
        <v>2533262</v>
      </c>
      <c r="V19" s="323"/>
    </row>
    <row r="20" spans="1:23" ht="9.4" customHeight="1">
      <c r="A20" s="352"/>
      <c r="B20" s="21">
        <v>660382</v>
      </c>
      <c r="C20" s="21">
        <v>0</v>
      </c>
      <c r="D20" s="21">
        <v>0</v>
      </c>
      <c r="E20" s="21">
        <v>660382</v>
      </c>
      <c r="F20" s="21">
        <v>8807</v>
      </c>
      <c r="G20" s="21">
        <v>3222</v>
      </c>
      <c r="H20" s="21">
        <v>248274</v>
      </c>
      <c r="I20" s="21">
        <v>41011</v>
      </c>
      <c r="J20" s="21">
        <v>359068</v>
      </c>
      <c r="K20" s="22" t="s">
        <v>25</v>
      </c>
      <c r="L20" s="23" t="s">
        <v>26</v>
      </c>
      <c r="M20" s="21">
        <v>0</v>
      </c>
      <c r="N20" s="21">
        <v>0</v>
      </c>
      <c r="O20" s="21">
        <v>0</v>
      </c>
      <c r="P20" s="21">
        <v>660382</v>
      </c>
      <c r="Q20" s="21">
        <v>0</v>
      </c>
      <c r="R20" s="21">
        <v>660382</v>
      </c>
      <c r="S20" s="21">
        <v>0</v>
      </c>
      <c r="T20" s="21">
        <v>0</v>
      </c>
      <c r="U20" s="21">
        <v>660382</v>
      </c>
      <c r="V20" s="323"/>
    </row>
    <row r="21" spans="1:23" ht="9.4" customHeight="1">
      <c r="A21" s="352"/>
      <c r="B21" s="21">
        <v>562617</v>
      </c>
      <c r="C21" s="21">
        <v>0</v>
      </c>
      <c r="D21" s="21">
        <v>0</v>
      </c>
      <c r="E21" s="21">
        <v>562617</v>
      </c>
      <c r="F21" s="21">
        <v>8807</v>
      </c>
      <c r="G21" s="21">
        <v>3222</v>
      </c>
      <c r="H21" s="21">
        <v>150509</v>
      </c>
      <c r="I21" s="21">
        <v>41011</v>
      </c>
      <c r="J21" s="21">
        <v>359068</v>
      </c>
      <c r="K21" s="22" t="s">
        <v>27</v>
      </c>
      <c r="L21" s="23" t="s">
        <v>28</v>
      </c>
      <c r="M21" s="21">
        <v>0</v>
      </c>
      <c r="N21" s="21">
        <v>0</v>
      </c>
      <c r="O21" s="21">
        <v>0</v>
      </c>
      <c r="P21" s="21">
        <v>562617</v>
      </c>
      <c r="Q21" s="21">
        <v>0</v>
      </c>
      <c r="R21" s="21">
        <v>562617</v>
      </c>
      <c r="S21" s="21">
        <v>0</v>
      </c>
      <c r="T21" s="21">
        <v>0</v>
      </c>
      <c r="U21" s="21">
        <v>562617</v>
      </c>
      <c r="V21" s="323"/>
    </row>
    <row r="22" spans="1:23" ht="9.4" customHeight="1">
      <c r="A22" s="352"/>
      <c r="B22" s="21">
        <v>97765</v>
      </c>
      <c r="C22" s="21">
        <v>0</v>
      </c>
      <c r="D22" s="21">
        <v>0</v>
      </c>
      <c r="E22" s="21">
        <v>97765</v>
      </c>
      <c r="F22" s="21">
        <v>0</v>
      </c>
      <c r="G22" s="21">
        <v>0</v>
      </c>
      <c r="H22" s="21">
        <v>97765</v>
      </c>
      <c r="I22" s="21">
        <v>0</v>
      </c>
      <c r="J22" s="21">
        <v>0</v>
      </c>
      <c r="K22" s="22" t="s">
        <v>29</v>
      </c>
      <c r="L22" s="23" t="s">
        <v>30</v>
      </c>
      <c r="M22" s="21">
        <v>0</v>
      </c>
      <c r="N22" s="21">
        <v>0</v>
      </c>
      <c r="O22" s="21">
        <v>0</v>
      </c>
      <c r="P22" s="21">
        <v>97765</v>
      </c>
      <c r="Q22" s="21">
        <v>0</v>
      </c>
      <c r="R22" s="21">
        <v>97765</v>
      </c>
      <c r="S22" s="21">
        <v>0</v>
      </c>
      <c r="T22" s="21">
        <v>0</v>
      </c>
      <c r="U22" s="21">
        <v>97765</v>
      </c>
      <c r="V22" s="323"/>
    </row>
    <row r="23" spans="1:23" ht="9.4" customHeight="1">
      <c r="A23" s="352"/>
      <c r="B23" s="21">
        <v>1101051</v>
      </c>
      <c r="C23" s="21">
        <v>0</v>
      </c>
      <c r="D23" s="21">
        <v>0</v>
      </c>
      <c r="E23" s="21">
        <v>1101051</v>
      </c>
      <c r="F23" s="24">
        <v>1037</v>
      </c>
      <c r="G23" s="24">
        <v>-2272</v>
      </c>
      <c r="H23" s="24">
        <v>278</v>
      </c>
      <c r="I23" s="24">
        <v>9262</v>
      </c>
      <c r="J23" s="24">
        <v>78086</v>
      </c>
      <c r="K23" s="22" t="s">
        <v>31</v>
      </c>
      <c r="L23" s="23" t="s">
        <v>32</v>
      </c>
      <c r="M23" s="21">
        <v>0</v>
      </c>
      <c r="N23" s="21">
        <v>0</v>
      </c>
      <c r="O23" s="21">
        <v>1101051</v>
      </c>
      <c r="P23" s="21">
        <v>0</v>
      </c>
      <c r="Q23" s="21">
        <v>0</v>
      </c>
      <c r="R23" s="21">
        <v>1101051</v>
      </c>
      <c r="S23" s="21">
        <v>0</v>
      </c>
      <c r="T23" s="21">
        <v>0</v>
      </c>
      <c r="U23" s="21">
        <v>1101051</v>
      </c>
      <c r="V23" s="323"/>
    </row>
    <row r="24" spans="1:23" ht="9.4" customHeight="1">
      <c r="A24" s="352"/>
      <c r="B24" s="21">
        <v>1014660</v>
      </c>
      <c r="C24" s="21">
        <v>0</v>
      </c>
      <c r="D24" s="21">
        <v>0</v>
      </c>
      <c r="E24" s="21">
        <v>1014660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2" t="s">
        <v>18</v>
      </c>
      <c r="L24" s="23" t="s">
        <v>19</v>
      </c>
      <c r="M24" s="21">
        <v>0</v>
      </c>
      <c r="N24" s="21">
        <v>0</v>
      </c>
      <c r="O24" s="21">
        <v>1014660</v>
      </c>
      <c r="P24" s="21">
        <v>0</v>
      </c>
      <c r="Q24" s="21">
        <v>0</v>
      </c>
      <c r="R24" s="21">
        <v>1014660</v>
      </c>
      <c r="S24" s="21">
        <v>0</v>
      </c>
      <c r="T24" s="21">
        <v>0</v>
      </c>
      <c r="U24" s="21">
        <v>1014660</v>
      </c>
      <c r="V24" s="323"/>
    </row>
    <row r="25" spans="1:23" ht="9.4" customHeight="1">
      <c r="A25" s="352"/>
      <c r="B25" s="21">
        <v>86391</v>
      </c>
      <c r="C25" s="21">
        <v>0</v>
      </c>
      <c r="D25" s="21">
        <v>0</v>
      </c>
      <c r="E25" s="21">
        <v>86391</v>
      </c>
      <c r="F25" s="21">
        <v>1037</v>
      </c>
      <c r="G25" s="21">
        <v>-2272</v>
      </c>
      <c r="H25" s="21">
        <v>278</v>
      </c>
      <c r="I25" s="21">
        <v>9262</v>
      </c>
      <c r="J25" s="21">
        <v>78086</v>
      </c>
      <c r="K25" s="22" t="s">
        <v>33</v>
      </c>
      <c r="L25" s="23" t="s">
        <v>34</v>
      </c>
      <c r="M25" s="21">
        <v>0</v>
      </c>
      <c r="N25" s="21">
        <v>0</v>
      </c>
      <c r="O25" s="21">
        <v>86391</v>
      </c>
      <c r="P25" s="21">
        <v>0</v>
      </c>
      <c r="Q25" s="21">
        <v>0</v>
      </c>
      <c r="R25" s="21">
        <v>86391</v>
      </c>
      <c r="S25" s="21">
        <v>0</v>
      </c>
      <c r="T25" s="21">
        <v>0</v>
      </c>
      <c r="U25" s="21">
        <v>86391</v>
      </c>
      <c r="V25" s="323"/>
    </row>
    <row r="26" spans="1:23" s="62" customFormat="1" ht="9.4" customHeight="1">
      <c r="A26" s="352"/>
      <c r="B26" s="59">
        <v>2682839</v>
      </c>
      <c r="C26" s="59">
        <f>B16-B18-B23+B17</f>
        <v>3268862</v>
      </c>
      <c r="D26" s="59">
        <v>0</v>
      </c>
      <c r="E26" s="60">
        <v>2682839</v>
      </c>
      <c r="F26" s="59">
        <v>4740</v>
      </c>
      <c r="G26" s="60">
        <v>594307</v>
      </c>
      <c r="H26" s="59">
        <f>O16-H18-H23</f>
        <v>117618</v>
      </c>
      <c r="I26" s="59">
        <f>I16-I18-I23</f>
        <v>260762</v>
      </c>
      <c r="J26" s="59">
        <f>M16-J18-J23</f>
        <v>1705412</v>
      </c>
      <c r="K26" s="45" t="s">
        <v>271</v>
      </c>
      <c r="L26" s="46" t="s">
        <v>35</v>
      </c>
      <c r="M26" s="64">
        <v>1705412</v>
      </c>
      <c r="N26" s="59">
        <v>260762</v>
      </c>
      <c r="O26" s="59">
        <v>117618</v>
      </c>
      <c r="P26" s="60">
        <v>594307</v>
      </c>
      <c r="Q26" s="59">
        <v>4740</v>
      </c>
      <c r="R26" s="65">
        <v>2682839</v>
      </c>
      <c r="S26" s="59">
        <v>0</v>
      </c>
      <c r="T26" s="59">
        <v>0</v>
      </c>
      <c r="U26" s="59">
        <v>2682839</v>
      </c>
      <c r="V26" s="323"/>
      <c r="W26" s="11"/>
    </row>
    <row r="27" spans="1:23" s="62" customFormat="1" ht="9.4" customHeight="1" thickBot="1">
      <c r="A27" s="353"/>
      <c r="B27" s="59">
        <v>633364</v>
      </c>
      <c r="C27" s="59">
        <f>SUM(B26:B27)</f>
        <v>3316203</v>
      </c>
      <c r="D27" s="59">
        <v>0</v>
      </c>
      <c r="E27" s="60">
        <v>633364</v>
      </c>
      <c r="F27" s="59">
        <v>0</v>
      </c>
      <c r="G27" s="60">
        <v>633364</v>
      </c>
      <c r="H27" s="59"/>
      <c r="I27" s="59">
        <v>0</v>
      </c>
      <c r="J27" s="59">
        <v>0</v>
      </c>
      <c r="K27" s="45" t="s">
        <v>272</v>
      </c>
      <c r="L27" s="46" t="s">
        <v>36</v>
      </c>
      <c r="M27" s="64">
        <v>0</v>
      </c>
      <c r="N27" s="59">
        <v>0</v>
      </c>
      <c r="O27" s="59">
        <v>0</v>
      </c>
      <c r="P27" s="60">
        <v>633364</v>
      </c>
      <c r="Q27" s="59">
        <v>0</v>
      </c>
      <c r="R27" s="65">
        <v>633364</v>
      </c>
      <c r="S27" s="59">
        <v>0</v>
      </c>
      <c r="T27" s="59">
        <v>0</v>
      </c>
      <c r="U27" s="59">
        <v>633364</v>
      </c>
      <c r="V27" s="323"/>
      <c r="W27" s="11"/>
    </row>
    <row r="28" spans="1:23" ht="9.4" customHeight="1" thickTop="1">
      <c r="A28" s="335" t="s">
        <v>407</v>
      </c>
      <c r="B28" s="18">
        <v>3029954</v>
      </c>
      <c r="C28" s="18">
        <v>0</v>
      </c>
      <c r="D28" s="18">
        <v>100439</v>
      </c>
      <c r="E28" s="18">
        <v>2929515</v>
      </c>
      <c r="F28" s="18">
        <v>116</v>
      </c>
      <c r="G28" s="18">
        <v>205684</v>
      </c>
      <c r="H28" s="18">
        <v>446981</v>
      </c>
      <c r="I28" s="18">
        <v>1323947</v>
      </c>
      <c r="J28" s="18">
        <v>952787</v>
      </c>
      <c r="K28" s="28" t="s">
        <v>37</v>
      </c>
      <c r="L28" s="29" t="s">
        <v>38</v>
      </c>
      <c r="M28" s="32">
        <v>322910</v>
      </c>
      <c r="N28" s="32">
        <v>1348503</v>
      </c>
      <c r="O28" s="32">
        <v>268251</v>
      </c>
      <c r="P28" s="32">
        <v>819926</v>
      </c>
      <c r="Q28" s="32">
        <v>10573</v>
      </c>
      <c r="R28" s="32">
        <v>2770163</v>
      </c>
      <c r="S28" s="32">
        <v>259791</v>
      </c>
      <c r="T28" s="32">
        <v>0</v>
      </c>
      <c r="U28" s="32">
        <v>3029954</v>
      </c>
      <c r="V28" s="323"/>
    </row>
    <row r="29" spans="1:23" ht="9.4" customHeight="1">
      <c r="A29" s="336"/>
      <c r="B29" s="21">
        <v>2028056</v>
      </c>
      <c r="C29" s="21"/>
      <c r="D29" s="21">
        <v>32573</v>
      </c>
      <c r="E29" s="32">
        <v>1995483</v>
      </c>
      <c r="F29" s="21">
        <v>116</v>
      </c>
      <c r="G29" s="21">
        <v>205027</v>
      </c>
      <c r="H29" s="21">
        <v>446981</v>
      </c>
      <c r="I29" s="21">
        <v>1060460</v>
      </c>
      <c r="J29" s="21">
        <v>282899</v>
      </c>
      <c r="K29" s="22" t="s">
        <v>39</v>
      </c>
      <c r="L29" s="23" t="s">
        <v>40</v>
      </c>
      <c r="M29" s="21">
        <v>246213</v>
      </c>
      <c r="N29" s="21">
        <v>1235025</v>
      </c>
      <c r="O29" s="21">
        <v>191053</v>
      </c>
      <c r="P29" s="21">
        <v>239016</v>
      </c>
      <c r="Q29" s="21">
        <v>10530</v>
      </c>
      <c r="R29" s="21">
        <v>1921837</v>
      </c>
      <c r="S29" s="21">
        <v>106219</v>
      </c>
      <c r="T29" s="21">
        <v>0</v>
      </c>
      <c r="U29" s="21">
        <v>2028056</v>
      </c>
      <c r="V29" s="323"/>
    </row>
    <row r="30" spans="1:23" ht="9.4" customHeight="1">
      <c r="A30" s="336"/>
      <c r="B30" s="21">
        <v>805952</v>
      </c>
      <c r="C30" s="21">
        <v>0</v>
      </c>
      <c r="D30" s="21">
        <v>61731</v>
      </c>
      <c r="E30" s="32">
        <v>744221</v>
      </c>
      <c r="F30" s="21">
        <v>0</v>
      </c>
      <c r="G30" s="21">
        <v>0</v>
      </c>
      <c r="H30" s="21">
        <v>0</v>
      </c>
      <c r="I30" s="21">
        <v>164460</v>
      </c>
      <c r="J30" s="21">
        <v>579761</v>
      </c>
      <c r="K30" s="22" t="s">
        <v>41</v>
      </c>
      <c r="L30" s="23" t="s">
        <v>408</v>
      </c>
      <c r="M30" s="21">
        <v>70354</v>
      </c>
      <c r="N30" s="21">
        <v>86283</v>
      </c>
      <c r="O30" s="21">
        <v>10278</v>
      </c>
      <c r="P30" s="21">
        <v>513540</v>
      </c>
      <c r="Q30" s="21">
        <v>0</v>
      </c>
      <c r="R30" s="21">
        <v>680455</v>
      </c>
      <c r="S30" s="21">
        <v>125497</v>
      </c>
      <c r="T30" s="21">
        <v>0</v>
      </c>
      <c r="U30" s="21">
        <v>805952</v>
      </c>
      <c r="V30" s="323"/>
    </row>
    <row r="31" spans="1:23" ht="9.4" customHeight="1">
      <c r="A31" s="336"/>
      <c r="B31" s="21">
        <v>34173</v>
      </c>
      <c r="C31" s="21">
        <v>0</v>
      </c>
      <c r="D31" s="21">
        <v>6135</v>
      </c>
      <c r="E31" s="32">
        <v>28038</v>
      </c>
      <c r="F31" s="21">
        <v>0</v>
      </c>
      <c r="G31" s="21">
        <v>0</v>
      </c>
      <c r="H31" s="21">
        <v>0</v>
      </c>
      <c r="I31" s="21">
        <v>3562</v>
      </c>
      <c r="J31" s="21">
        <v>24476</v>
      </c>
      <c r="K31" s="22" t="s">
        <v>390</v>
      </c>
      <c r="L31" s="23" t="s">
        <v>392</v>
      </c>
      <c r="M31" s="21">
        <v>2842</v>
      </c>
      <c r="N31" s="21">
        <v>3293</v>
      </c>
      <c r="O31" s="21">
        <v>0</v>
      </c>
      <c r="P31" s="21">
        <v>0</v>
      </c>
      <c r="Q31" s="21">
        <v>0</v>
      </c>
      <c r="R31" s="21">
        <v>6135</v>
      </c>
      <c r="S31" s="21">
        <v>28038</v>
      </c>
      <c r="T31" s="21">
        <v>0</v>
      </c>
      <c r="U31" s="21">
        <v>34173</v>
      </c>
      <c r="V31" s="323"/>
    </row>
    <row r="32" spans="1:23" ht="9.4" customHeight="1">
      <c r="A32" s="336"/>
      <c r="B32" s="21">
        <v>95465</v>
      </c>
      <c r="C32" s="21">
        <v>0</v>
      </c>
      <c r="D32" s="21">
        <v>0</v>
      </c>
      <c r="E32" s="32">
        <v>95465</v>
      </c>
      <c r="F32" s="21">
        <v>0</v>
      </c>
      <c r="G32" s="21">
        <v>0</v>
      </c>
      <c r="H32" s="21">
        <v>0</v>
      </c>
      <c r="I32" s="21">
        <v>95465</v>
      </c>
      <c r="J32" s="21">
        <v>0</v>
      </c>
      <c r="K32" s="22" t="s">
        <v>44</v>
      </c>
      <c r="L32" s="23" t="s">
        <v>401</v>
      </c>
      <c r="M32" s="21">
        <v>3501</v>
      </c>
      <c r="N32" s="21">
        <v>23902</v>
      </c>
      <c r="O32" s="21">
        <v>612</v>
      </c>
      <c r="P32" s="21">
        <v>67370</v>
      </c>
      <c r="Q32" s="21">
        <v>43</v>
      </c>
      <c r="R32" s="21">
        <v>95428</v>
      </c>
      <c r="S32" s="21">
        <v>37</v>
      </c>
      <c r="T32" s="21">
        <v>0</v>
      </c>
      <c r="U32" s="21">
        <v>95465</v>
      </c>
      <c r="V32" s="323"/>
    </row>
    <row r="33" spans="1:23" ht="9.4" customHeight="1">
      <c r="A33" s="336"/>
      <c r="B33" s="21">
        <v>6574</v>
      </c>
      <c r="C33" s="21">
        <v>0</v>
      </c>
      <c r="D33" s="21">
        <v>0</v>
      </c>
      <c r="E33" s="32">
        <v>6574</v>
      </c>
      <c r="F33" s="21">
        <v>0</v>
      </c>
      <c r="G33" s="21">
        <v>0</v>
      </c>
      <c r="H33" s="21">
        <v>0</v>
      </c>
      <c r="I33" s="21">
        <v>6574</v>
      </c>
      <c r="J33" s="21">
        <v>0</v>
      </c>
      <c r="K33" s="22" t="s">
        <v>395</v>
      </c>
      <c r="L33" s="23" t="s">
        <v>398</v>
      </c>
      <c r="M33" s="21">
        <v>1186</v>
      </c>
      <c r="N33" s="21">
        <v>1107</v>
      </c>
      <c r="O33" s="21">
        <v>65</v>
      </c>
      <c r="P33" s="21">
        <v>4136</v>
      </c>
      <c r="Q33" s="21">
        <v>43</v>
      </c>
      <c r="R33" s="21">
        <v>6537</v>
      </c>
      <c r="S33" s="21">
        <v>37</v>
      </c>
      <c r="T33" s="21">
        <v>0</v>
      </c>
      <c r="U33" s="21">
        <v>6574</v>
      </c>
      <c r="V33" s="323"/>
    </row>
    <row r="34" spans="1:23" ht="9.4" customHeight="1">
      <c r="A34" s="336"/>
      <c r="B34" s="21">
        <v>56739</v>
      </c>
      <c r="C34" s="21">
        <v>0</v>
      </c>
      <c r="D34" s="21">
        <v>0</v>
      </c>
      <c r="E34" s="32">
        <v>56739</v>
      </c>
      <c r="F34" s="21">
        <v>0</v>
      </c>
      <c r="G34" s="21">
        <v>0</v>
      </c>
      <c r="H34" s="21">
        <v>0</v>
      </c>
      <c r="I34" s="21">
        <v>56739</v>
      </c>
      <c r="J34" s="21">
        <v>0</v>
      </c>
      <c r="K34" s="22" t="s">
        <v>396</v>
      </c>
      <c r="L34" s="23" t="s">
        <v>399</v>
      </c>
      <c r="M34" s="21">
        <v>0</v>
      </c>
      <c r="N34" s="21">
        <v>0</v>
      </c>
      <c r="O34" s="21">
        <v>0</v>
      </c>
      <c r="P34" s="21">
        <v>56739</v>
      </c>
      <c r="Q34" s="21">
        <v>0</v>
      </c>
      <c r="R34" s="21">
        <v>56739</v>
      </c>
      <c r="S34" s="21">
        <v>0</v>
      </c>
      <c r="T34" s="21">
        <v>0</v>
      </c>
      <c r="U34" s="21">
        <v>56739</v>
      </c>
      <c r="V34" s="323"/>
    </row>
    <row r="35" spans="1:23" ht="9.4" customHeight="1">
      <c r="A35" s="336"/>
      <c r="B35" s="21">
        <v>32152</v>
      </c>
      <c r="C35" s="21">
        <v>0</v>
      </c>
      <c r="D35" s="21">
        <v>0</v>
      </c>
      <c r="E35" s="32">
        <v>32152</v>
      </c>
      <c r="F35" s="21">
        <v>0</v>
      </c>
      <c r="G35" s="21">
        <v>0</v>
      </c>
      <c r="H35" s="21">
        <v>0</v>
      </c>
      <c r="I35" s="21">
        <v>32152</v>
      </c>
      <c r="J35" s="21">
        <v>0</v>
      </c>
      <c r="K35" s="22" t="s">
        <v>397</v>
      </c>
      <c r="L35" s="23" t="s">
        <v>400</v>
      </c>
      <c r="M35" s="21">
        <v>2315</v>
      </c>
      <c r="N35" s="21">
        <v>22795</v>
      </c>
      <c r="O35" s="21">
        <v>547</v>
      </c>
      <c r="P35" s="21">
        <v>6495</v>
      </c>
      <c r="Q35" s="21">
        <v>0</v>
      </c>
      <c r="R35" s="21">
        <v>32152</v>
      </c>
      <c r="S35" s="21">
        <v>0</v>
      </c>
      <c r="T35" s="21">
        <v>0</v>
      </c>
      <c r="U35" s="21">
        <v>32152</v>
      </c>
      <c r="V35" s="323"/>
    </row>
    <row r="36" spans="1:23" ht="9.4" customHeight="1" thickBot="1">
      <c r="A36" s="336"/>
      <c r="B36" s="21">
        <v>66308</v>
      </c>
      <c r="C36" s="21">
        <v>0</v>
      </c>
      <c r="D36" s="21">
        <v>0</v>
      </c>
      <c r="E36" s="32">
        <v>66308</v>
      </c>
      <c r="F36" s="21">
        <v>0</v>
      </c>
      <c r="G36" s="21">
        <v>657</v>
      </c>
      <c r="H36" s="21">
        <v>0</v>
      </c>
      <c r="I36" s="21">
        <v>0</v>
      </c>
      <c r="J36" s="21">
        <v>65651</v>
      </c>
      <c r="K36" s="22" t="s">
        <v>45</v>
      </c>
      <c r="L36" s="23" t="s">
        <v>288</v>
      </c>
      <c r="M36" s="21">
        <v>0</v>
      </c>
      <c r="N36" s="21">
        <v>0</v>
      </c>
      <c r="O36" s="21">
        <v>66308</v>
      </c>
      <c r="P36" s="21">
        <v>0</v>
      </c>
      <c r="Q36" s="21">
        <v>0</v>
      </c>
      <c r="R36" s="21">
        <v>66308</v>
      </c>
      <c r="S36" s="21">
        <v>0</v>
      </c>
      <c r="T36" s="21">
        <v>0</v>
      </c>
      <c r="U36" s="21">
        <v>66308</v>
      </c>
      <c r="V36" s="324"/>
    </row>
    <row r="37" spans="1:23" s="62" customFormat="1" ht="9.4" customHeight="1" thickTop="1" thickBot="1">
      <c r="A37" s="337"/>
      <c r="B37" s="63">
        <v>7450838</v>
      </c>
      <c r="C37" s="63">
        <v>0</v>
      </c>
      <c r="D37" s="63">
        <v>0</v>
      </c>
      <c r="E37" s="66">
        <v>7450838</v>
      </c>
      <c r="F37" s="63">
        <v>15197</v>
      </c>
      <c r="G37" s="63">
        <v>5034849</v>
      </c>
      <c r="H37" s="63">
        <f>O16+O23-H18-H23+O28-H28</f>
        <v>1039939</v>
      </c>
      <c r="I37" s="63">
        <v>285318</v>
      </c>
      <c r="J37" s="63">
        <v>1075535</v>
      </c>
      <c r="K37" s="47" t="s">
        <v>273</v>
      </c>
      <c r="L37" s="46" t="s">
        <v>99</v>
      </c>
      <c r="M37" s="61">
        <v>1075535</v>
      </c>
      <c r="N37" s="61">
        <v>285318</v>
      </c>
      <c r="O37" s="61">
        <v>1039939</v>
      </c>
      <c r="P37" s="61">
        <v>5034849</v>
      </c>
      <c r="Q37" s="61">
        <v>15197</v>
      </c>
      <c r="R37" s="61">
        <v>7450838</v>
      </c>
      <c r="S37" s="61">
        <v>0</v>
      </c>
      <c r="T37" s="61">
        <v>0</v>
      </c>
      <c r="U37" s="61">
        <v>7450838</v>
      </c>
      <c r="V37" s="346" t="s">
        <v>102</v>
      </c>
      <c r="W37" s="11"/>
    </row>
    <row r="38" spans="1:23" ht="9.4" customHeight="1" thickTop="1">
      <c r="A38" s="343" t="s">
        <v>102</v>
      </c>
      <c r="B38" s="18">
        <v>625041</v>
      </c>
      <c r="C38" s="18">
        <v>0</v>
      </c>
      <c r="D38" s="18">
        <v>0</v>
      </c>
      <c r="E38" s="18">
        <v>625041</v>
      </c>
      <c r="F38" s="18">
        <v>584</v>
      </c>
      <c r="G38" s="18">
        <v>286229</v>
      </c>
      <c r="H38" s="18">
        <v>365</v>
      </c>
      <c r="I38" s="18">
        <v>42715</v>
      </c>
      <c r="J38" s="18">
        <v>295148</v>
      </c>
      <c r="K38" s="28" t="s">
        <v>47</v>
      </c>
      <c r="L38" s="29" t="s">
        <v>48</v>
      </c>
      <c r="M38" s="32">
        <v>0</v>
      </c>
      <c r="N38" s="32">
        <v>0</v>
      </c>
      <c r="O38" s="32">
        <v>625041</v>
      </c>
      <c r="P38" s="32">
        <v>0</v>
      </c>
      <c r="Q38" s="32">
        <v>0</v>
      </c>
      <c r="R38" s="32">
        <v>625041</v>
      </c>
      <c r="S38" s="32">
        <v>0</v>
      </c>
      <c r="T38" s="32">
        <v>0</v>
      </c>
      <c r="U38" s="32">
        <v>625041</v>
      </c>
      <c r="V38" s="347"/>
    </row>
    <row r="39" spans="1:23" ht="9.4" customHeight="1">
      <c r="A39" s="344"/>
      <c r="B39" s="21">
        <v>895266</v>
      </c>
      <c r="C39" s="21">
        <v>0</v>
      </c>
      <c r="D39" s="21">
        <v>0</v>
      </c>
      <c r="E39" s="21">
        <v>895266</v>
      </c>
      <c r="F39" s="21">
        <v>0</v>
      </c>
      <c r="G39" s="21">
        <v>895266</v>
      </c>
      <c r="H39" s="21">
        <v>0</v>
      </c>
      <c r="I39" s="21">
        <v>0</v>
      </c>
      <c r="J39" s="21">
        <v>0</v>
      </c>
      <c r="K39" s="22" t="s">
        <v>49</v>
      </c>
      <c r="L39" s="23" t="s">
        <v>50</v>
      </c>
      <c r="M39" s="21">
        <v>0</v>
      </c>
      <c r="N39" s="21">
        <v>94536</v>
      </c>
      <c r="O39" s="21">
        <v>800730</v>
      </c>
      <c r="P39" s="21">
        <v>0</v>
      </c>
      <c r="Q39" s="21">
        <v>0</v>
      </c>
      <c r="R39" s="21">
        <v>895266</v>
      </c>
      <c r="S39" s="21">
        <v>0</v>
      </c>
      <c r="T39" s="21">
        <v>0</v>
      </c>
      <c r="U39" s="21">
        <v>895266</v>
      </c>
      <c r="V39" s="347"/>
    </row>
    <row r="40" spans="1:23" ht="9.4" customHeight="1">
      <c r="A40" s="344"/>
      <c r="B40" s="21">
        <v>562617</v>
      </c>
      <c r="C40" s="21">
        <v>0</v>
      </c>
      <c r="D40" s="21">
        <v>0</v>
      </c>
      <c r="E40" s="21">
        <v>562617</v>
      </c>
      <c r="F40" s="21">
        <v>0</v>
      </c>
      <c r="G40" s="21">
        <v>562617</v>
      </c>
      <c r="H40" s="21">
        <v>0</v>
      </c>
      <c r="I40" s="21">
        <v>0</v>
      </c>
      <c r="J40" s="21">
        <v>0</v>
      </c>
      <c r="K40" s="22" t="s">
        <v>51</v>
      </c>
      <c r="L40" s="23" t="s">
        <v>289</v>
      </c>
      <c r="M40" s="21">
        <v>0</v>
      </c>
      <c r="N40" s="21">
        <v>21236</v>
      </c>
      <c r="O40" s="21">
        <v>541381</v>
      </c>
      <c r="P40" s="21">
        <v>0</v>
      </c>
      <c r="Q40" s="21">
        <v>0</v>
      </c>
      <c r="R40" s="21">
        <v>562617</v>
      </c>
      <c r="S40" s="21">
        <v>0</v>
      </c>
      <c r="T40" s="21">
        <v>0</v>
      </c>
      <c r="U40" s="21">
        <v>562617</v>
      </c>
      <c r="V40" s="347"/>
    </row>
    <row r="41" spans="1:23" ht="9.4" customHeight="1">
      <c r="A41" s="344"/>
      <c r="B41" s="21">
        <v>97765</v>
      </c>
      <c r="C41" s="21">
        <v>0</v>
      </c>
      <c r="D41" s="21">
        <v>0</v>
      </c>
      <c r="E41" s="21">
        <v>97765</v>
      </c>
      <c r="F41" s="21">
        <v>0</v>
      </c>
      <c r="G41" s="21">
        <v>97765</v>
      </c>
      <c r="H41" s="21">
        <v>0</v>
      </c>
      <c r="I41" s="21">
        <v>0</v>
      </c>
      <c r="J41" s="21">
        <v>0</v>
      </c>
      <c r="K41" s="22" t="s">
        <v>56</v>
      </c>
      <c r="L41" s="23" t="s">
        <v>290</v>
      </c>
      <c r="M41" s="21">
        <v>0</v>
      </c>
      <c r="N41" s="21">
        <v>0</v>
      </c>
      <c r="O41" s="21">
        <v>97765</v>
      </c>
      <c r="P41" s="21">
        <v>0</v>
      </c>
      <c r="Q41" s="21">
        <v>0</v>
      </c>
      <c r="R41" s="21">
        <v>97765</v>
      </c>
      <c r="S41" s="21">
        <v>0</v>
      </c>
      <c r="T41" s="21">
        <v>0</v>
      </c>
      <c r="U41" s="21">
        <v>97765</v>
      </c>
      <c r="V41" s="347"/>
    </row>
    <row r="42" spans="1:23" ht="19.5" customHeight="1">
      <c r="A42" s="344"/>
      <c r="B42" s="21">
        <v>234884</v>
      </c>
      <c r="C42" s="21">
        <v>0</v>
      </c>
      <c r="D42" s="21">
        <v>0</v>
      </c>
      <c r="E42" s="21">
        <v>234884</v>
      </c>
      <c r="F42" s="21">
        <v>0</v>
      </c>
      <c r="G42" s="21">
        <v>234884</v>
      </c>
      <c r="H42" s="21">
        <v>0</v>
      </c>
      <c r="I42" s="21">
        <v>0</v>
      </c>
      <c r="J42" s="21">
        <v>0</v>
      </c>
      <c r="K42" s="22" t="s">
        <v>387</v>
      </c>
      <c r="L42" s="23" t="s">
        <v>388</v>
      </c>
      <c r="M42" s="21">
        <v>0</v>
      </c>
      <c r="N42" s="21">
        <v>73300</v>
      </c>
      <c r="O42" s="21">
        <v>161584</v>
      </c>
      <c r="P42" s="21">
        <v>0</v>
      </c>
      <c r="Q42" s="21">
        <v>0</v>
      </c>
      <c r="R42" s="21">
        <v>234884</v>
      </c>
      <c r="S42" s="21">
        <v>0</v>
      </c>
      <c r="T42" s="21">
        <v>0</v>
      </c>
      <c r="U42" s="21">
        <v>234884</v>
      </c>
      <c r="V42" s="347"/>
    </row>
    <row r="43" spans="1:23" ht="9.4" customHeight="1">
      <c r="A43" s="344"/>
      <c r="B43" s="21">
        <v>1827609</v>
      </c>
      <c r="C43" s="21">
        <v>0</v>
      </c>
      <c r="D43" s="21">
        <v>0</v>
      </c>
      <c r="E43" s="21">
        <v>1827609</v>
      </c>
      <c r="F43" s="21">
        <v>0</v>
      </c>
      <c r="G43" s="21">
        <v>0</v>
      </c>
      <c r="H43" s="21">
        <v>1752871</v>
      </c>
      <c r="I43" s="21">
        <v>74738</v>
      </c>
      <c r="J43" s="21">
        <v>0</v>
      </c>
      <c r="K43" s="22" t="s">
        <v>58</v>
      </c>
      <c r="L43" s="23" t="s">
        <v>59</v>
      </c>
      <c r="M43" s="21">
        <v>0</v>
      </c>
      <c r="N43" s="21">
        <v>0</v>
      </c>
      <c r="O43" s="21">
        <v>0</v>
      </c>
      <c r="P43" s="21">
        <v>1827609</v>
      </c>
      <c r="Q43" s="21">
        <v>0</v>
      </c>
      <c r="R43" s="21">
        <v>1827609</v>
      </c>
      <c r="S43" s="21">
        <v>0</v>
      </c>
      <c r="T43" s="21">
        <v>0</v>
      </c>
      <c r="U43" s="21">
        <v>1827609</v>
      </c>
      <c r="V43" s="347"/>
    </row>
    <row r="44" spans="1:23" ht="9.4" customHeight="1">
      <c r="A44" s="344"/>
      <c r="B44" s="21">
        <v>742258</v>
      </c>
      <c r="C44" s="21">
        <v>0</v>
      </c>
      <c r="D44" s="21">
        <v>0</v>
      </c>
      <c r="E44" s="21">
        <v>742258</v>
      </c>
      <c r="F44" s="21">
        <v>0</v>
      </c>
      <c r="G44" s="21">
        <v>0</v>
      </c>
      <c r="H44" s="21">
        <v>742258</v>
      </c>
      <c r="I44" s="21">
        <v>0</v>
      </c>
      <c r="J44" s="21">
        <v>0</v>
      </c>
      <c r="K44" s="22" t="s">
        <v>252</v>
      </c>
      <c r="L44" s="52" t="s">
        <v>256</v>
      </c>
      <c r="M44" s="21">
        <v>0</v>
      </c>
      <c r="N44" s="21">
        <v>0</v>
      </c>
      <c r="O44" s="21">
        <v>0</v>
      </c>
      <c r="P44" s="21">
        <v>742258</v>
      </c>
      <c r="Q44" s="21">
        <v>0</v>
      </c>
      <c r="R44" s="21">
        <v>742258</v>
      </c>
      <c r="S44" s="21">
        <v>0</v>
      </c>
      <c r="T44" s="21">
        <v>0</v>
      </c>
      <c r="U44" s="21">
        <v>742258</v>
      </c>
      <c r="V44" s="347"/>
    </row>
    <row r="45" spans="1:23" ht="9.4" customHeight="1">
      <c r="A45" s="344"/>
      <c r="B45" s="21">
        <v>670737</v>
      </c>
      <c r="C45" s="21">
        <v>0</v>
      </c>
      <c r="D45" s="21">
        <v>0</v>
      </c>
      <c r="E45" s="21">
        <v>670737</v>
      </c>
      <c r="F45" s="21">
        <v>0</v>
      </c>
      <c r="G45" s="21">
        <v>0</v>
      </c>
      <c r="H45" s="21">
        <v>595999</v>
      </c>
      <c r="I45" s="21">
        <v>74738</v>
      </c>
      <c r="J45" s="21">
        <v>0</v>
      </c>
      <c r="K45" s="22" t="s">
        <v>192</v>
      </c>
      <c r="L45" s="23" t="s">
        <v>291</v>
      </c>
      <c r="M45" s="21">
        <v>0</v>
      </c>
      <c r="N45" s="21">
        <v>0</v>
      </c>
      <c r="O45" s="21">
        <v>0</v>
      </c>
      <c r="P45" s="21">
        <v>670737</v>
      </c>
      <c r="Q45" s="21">
        <v>0</v>
      </c>
      <c r="R45" s="21">
        <v>670737</v>
      </c>
      <c r="S45" s="21">
        <v>0</v>
      </c>
      <c r="T45" s="21">
        <v>0</v>
      </c>
      <c r="U45" s="21">
        <v>670737</v>
      </c>
      <c r="V45" s="347"/>
    </row>
    <row r="46" spans="1:23" ht="9.4" customHeight="1">
      <c r="A46" s="344"/>
      <c r="B46" s="21">
        <v>414614</v>
      </c>
      <c r="C46" s="21">
        <v>0</v>
      </c>
      <c r="D46" s="21">
        <v>0</v>
      </c>
      <c r="E46" s="21">
        <v>414614</v>
      </c>
      <c r="F46" s="21">
        <v>0</v>
      </c>
      <c r="G46" s="21">
        <v>0</v>
      </c>
      <c r="H46" s="21">
        <v>414614</v>
      </c>
      <c r="I46" s="21">
        <v>0</v>
      </c>
      <c r="J46" s="21">
        <v>0</v>
      </c>
      <c r="K46" s="22" t="s">
        <v>61</v>
      </c>
      <c r="L46" s="23" t="s">
        <v>63</v>
      </c>
      <c r="M46" s="21">
        <v>0</v>
      </c>
      <c r="N46" s="21">
        <v>0</v>
      </c>
      <c r="O46" s="21">
        <v>0</v>
      </c>
      <c r="P46" s="21">
        <v>414614</v>
      </c>
      <c r="Q46" s="21">
        <v>0</v>
      </c>
      <c r="R46" s="21">
        <v>414614</v>
      </c>
      <c r="S46" s="21">
        <v>0</v>
      </c>
      <c r="T46" s="21">
        <v>0</v>
      </c>
      <c r="U46" s="21">
        <v>414614</v>
      </c>
      <c r="V46" s="347"/>
    </row>
    <row r="47" spans="1:23" ht="9.4" customHeight="1">
      <c r="A47" s="344"/>
      <c r="B47" s="21">
        <v>1159362</v>
      </c>
      <c r="C47" s="21">
        <v>0</v>
      </c>
      <c r="D47" s="21">
        <v>26415</v>
      </c>
      <c r="E47" s="21">
        <v>1132947</v>
      </c>
      <c r="F47" s="21">
        <v>458</v>
      </c>
      <c r="G47" s="21">
        <v>112163</v>
      </c>
      <c r="H47" s="21">
        <v>844896</v>
      </c>
      <c r="I47" s="21">
        <v>80387</v>
      </c>
      <c r="J47" s="21">
        <v>95043</v>
      </c>
      <c r="K47" s="22" t="s">
        <v>64</v>
      </c>
      <c r="L47" s="23" t="s">
        <v>65</v>
      </c>
      <c r="M47" s="21">
        <v>41947</v>
      </c>
      <c r="N47" s="21">
        <v>67100</v>
      </c>
      <c r="O47" s="21">
        <v>881244</v>
      </c>
      <c r="P47" s="21">
        <v>56381</v>
      </c>
      <c r="Q47" s="21">
        <v>97173</v>
      </c>
      <c r="R47" s="21">
        <v>1143845</v>
      </c>
      <c r="S47" s="21">
        <v>15517</v>
      </c>
      <c r="T47" s="21">
        <v>0</v>
      </c>
      <c r="U47" s="21">
        <v>1159362</v>
      </c>
      <c r="V47" s="347"/>
    </row>
    <row r="48" spans="1:23" ht="9.4" customHeight="1">
      <c r="A48" s="344"/>
      <c r="B48" s="21">
        <v>62758</v>
      </c>
      <c r="C48" s="21">
        <v>0</v>
      </c>
      <c r="D48" s="21">
        <v>282</v>
      </c>
      <c r="E48" s="21">
        <v>62476</v>
      </c>
      <c r="F48" s="21">
        <v>458</v>
      </c>
      <c r="G48" s="21">
        <v>44995</v>
      </c>
      <c r="H48" s="21">
        <v>408</v>
      </c>
      <c r="I48" s="21">
        <v>2041</v>
      </c>
      <c r="J48" s="21">
        <v>14574</v>
      </c>
      <c r="K48" s="22" t="s">
        <v>66</v>
      </c>
      <c r="L48" s="23" t="s">
        <v>67</v>
      </c>
      <c r="M48" s="21">
        <v>0</v>
      </c>
      <c r="N48" s="21">
        <v>61834</v>
      </c>
      <c r="O48" s="21">
        <v>0</v>
      </c>
      <c r="P48" s="21">
        <v>0</v>
      </c>
      <c r="Q48" s="21">
        <v>0</v>
      </c>
      <c r="R48" s="21">
        <v>61834</v>
      </c>
      <c r="S48" s="21">
        <v>924</v>
      </c>
      <c r="T48" s="21">
        <v>0</v>
      </c>
      <c r="U48" s="21">
        <v>62758</v>
      </c>
      <c r="V48" s="347"/>
    </row>
    <row r="49" spans="1:23" ht="9.4" customHeight="1">
      <c r="A49" s="344"/>
      <c r="B49" s="21">
        <v>62758</v>
      </c>
      <c r="C49" s="21">
        <v>0</v>
      </c>
      <c r="D49" s="21">
        <v>27</v>
      </c>
      <c r="E49" s="21">
        <v>62731</v>
      </c>
      <c r="F49" s="21">
        <v>0</v>
      </c>
      <c r="G49" s="21">
        <v>0</v>
      </c>
      <c r="H49" s="21">
        <v>0</v>
      </c>
      <c r="I49" s="21">
        <v>62731</v>
      </c>
      <c r="J49" s="21">
        <v>0</v>
      </c>
      <c r="K49" s="22" t="s">
        <v>68</v>
      </c>
      <c r="L49" s="23" t="s">
        <v>69</v>
      </c>
      <c r="M49" s="21">
        <v>29778</v>
      </c>
      <c r="N49" s="21">
        <v>856</v>
      </c>
      <c r="O49" s="21">
        <v>822</v>
      </c>
      <c r="P49" s="21">
        <v>30254</v>
      </c>
      <c r="Q49" s="21">
        <v>383</v>
      </c>
      <c r="R49" s="21">
        <v>62093</v>
      </c>
      <c r="S49" s="21">
        <v>665</v>
      </c>
      <c r="T49" s="21">
        <v>0</v>
      </c>
      <c r="U49" s="21">
        <v>62758</v>
      </c>
      <c r="V49" s="347"/>
    </row>
    <row r="50" spans="1:23" ht="9.4" customHeight="1">
      <c r="A50" s="344"/>
      <c r="B50" s="21">
        <v>745989</v>
      </c>
      <c r="C50" s="21">
        <v>0</v>
      </c>
      <c r="D50" s="21">
        <v>0</v>
      </c>
      <c r="E50" s="21">
        <v>745989</v>
      </c>
      <c r="F50" s="21">
        <v>0</v>
      </c>
      <c r="G50" s="21">
        <v>0</v>
      </c>
      <c r="H50" s="21">
        <v>745989</v>
      </c>
      <c r="I50" s="21">
        <v>0</v>
      </c>
      <c r="J50" s="21">
        <v>0</v>
      </c>
      <c r="K50" s="22" t="s">
        <v>70</v>
      </c>
      <c r="L50" s="23" t="s">
        <v>393</v>
      </c>
      <c r="M50" s="30">
        <v>0</v>
      </c>
      <c r="N50" s="21">
        <v>0</v>
      </c>
      <c r="O50" s="21">
        <v>745989</v>
      </c>
      <c r="P50" s="21">
        <v>0</v>
      </c>
      <c r="Q50" s="21">
        <v>0</v>
      </c>
      <c r="R50" s="32">
        <v>745989</v>
      </c>
      <c r="S50" s="21">
        <v>0</v>
      </c>
      <c r="T50" s="21">
        <v>0</v>
      </c>
      <c r="U50" s="21">
        <v>745989</v>
      </c>
      <c r="V50" s="347"/>
    </row>
    <row r="51" spans="1:23" ht="9.4" customHeight="1">
      <c r="A51" s="344"/>
      <c r="B51" s="21">
        <v>2879</v>
      </c>
      <c r="C51" s="21">
        <v>0</v>
      </c>
      <c r="D51" s="21">
        <v>1364</v>
      </c>
      <c r="E51" s="21">
        <v>1515</v>
      </c>
      <c r="F51" s="21">
        <v>0</v>
      </c>
      <c r="G51" s="21">
        <v>0</v>
      </c>
      <c r="H51" s="21">
        <v>1515</v>
      </c>
      <c r="I51" s="21">
        <v>0</v>
      </c>
      <c r="J51" s="21">
        <v>0</v>
      </c>
      <c r="K51" s="22" t="s">
        <v>193</v>
      </c>
      <c r="L51" s="23" t="s">
        <v>394</v>
      </c>
      <c r="M51" s="30">
        <v>0</v>
      </c>
      <c r="N51" s="21">
        <v>0</v>
      </c>
      <c r="O51" s="21">
        <v>1364</v>
      </c>
      <c r="P51" s="21">
        <v>0</v>
      </c>
      <c r="Q51" s="21">
        <v>0</v>
      </c>
      <c r="R51" s="32">
        <v>1364</v>
      </c>
      <c r="S51" s="21">
        <v>1515</v>
      </c>
      <c r="T51" s="21">
        <v>0</v>
      </c>
      <c r="U51" s="21">
        <v>2879</v>
      </c>
      <c r="V51" s="347"/>
    </row>
    <row r="52" spans="1:23" ht="9.4" customHeight="1" thickBot="1">
      <c r="A52" s="344"/>
      <c r="B52" s="21">
        <v>284978</v>
      </c>
      <c r="C52" s="21">
        <v>0</v>
      </c>
      <c r="D52" s="21">
        <v>24742</v>
      </c>
      <c r="E52" s="21">
        <v>260236</v>
      </c>
      <c r="F52" s="21">
        <v>0</v>
      </c>
      <c r="G52" s="21">
        <v>67168</v>
      </c>
      <c r="H52" s="21">
        <v>96984</v>
      </c>
      <c r="I52" s="21">
        <v>15615</v>
      </c>
      <c r="J52" s="21">
        <v>80469</v>
      </c>
      <c r="K52" s="22" t="s">
        <v>72</v>
      </c>
      <c r="L52" s="23" t="s">
        <v>73</v>
      </c>
      <c r="M52" s="30">
        <v>12169</v>
      </c>
      <c r="N52" s="21">
        <v>4410</v>
      </c>
      <c r="O52" s="21">
        <v>133069</v>
      </c>
      <c r="P52" s="21">
        <v>26127</v>
      </c>
      <c r="Q52" s="21">
        <v>96790</v>
      </c>
      <c r="R52" s="32">
        <v>272565</v>
      </c>
      <c r="S52" s="21">
        <v>12413</v>
      </c>
      <c r="T52" s="21">
        <v>0</v>
      </c>
      <c r="U52" s="21">
        <v>284978</v>
      </c>
      <c r="V52" s="348"/>
    </row>
    <row r="53" spans="1:23" s="62" customFormat="1" ht="9.4" customHeight="1" thickTop="1" thickBot="1">
      <c r="A53" s="345"/>
      <c r="B53" s="67">
        <v>7461736</v>
      </c>
      <c r="C53" s="63">
        <v>0</v>
      </c>
      <c r="D53" s="63">
        <v>0</v>
      </c>
      <c r="E53" s="63">
        <v>7461736</v>
      </c>
      <c r="F53" s="63">
        <v>111328</v>
      </c>
      <c r="G53" s="63">
        <v>5625181</v>
      </c>
      <c r="H53" s="63">
        <f>O37+O38+O39+O43+O47-H47-H43-H39-H38</f>
        <v>748822</v>
      </c>
      <c r="I53" s="63">
        <v>249114</v>
      </c>
      <c r="J53" s="63">
        <v>727291</v>
      </c>
      <c r="K53" s="45" t="s">
        <v>274</v>
      </c>
      <c r="L53" s="46" t="s">
        <v>403</v>
      </c>
      <c r="M53" s="61">
        <v>727291</v>
      </c>
      <c r="N53" s="61">
        <v>249114</v>
      </c>
      <c r="O53" s="61">
        <v>748822</v>
      </c>
      <c r="P53" s="61">
        <v>5625181</v>
      </c>
      <c r="Q53" s="61">
        <v>111328</v>
      </c>
      <c r="R53" s="68">
        <v>7461736</v>
      </c>
      <c r="S53" s="61">
        <v>0</v>
      </c>
      <c r="T53" s="61">
        <v>0</v>
      </c>
      <c r="U53" s="61">
        <v>7461736</v>
      </c>
      <c r="V53" s="341" t="s">
        <v>103</v>
      </c>
      <c r="W53" s="11"/>
    </row>
    <row r="54" spans="1:23" ht="9.4" customHeight="1" thickTop="1" thickBot="1">
      <c r="A54" s="349" t="s">
        <v>105</v>
      </c>
      <c r="B54" s="24">
        <v>792009</v>
      </c>
      <c r="C54" s="27">
        <v>0</v>
      </c>
      <c r="D54" s="27">
        <v>0</v>
      </c>
      <c r="E54" s="33">
        <v>792009</v>
      </c>
      <c r="F54" s="27">
        <v>104919</v>
      </c>
      <c r="G54" s="27">
        <v>0</v>
      </c>
      <c r="H54" s="27">
        <v>687090</v>
      </c>
      <c r="I54" s="27">
        <v>0</v>
      </c>
      <c r="J54" s="27">
        <v>0</v>
      </c>
      <c r="K54" s="22" t="s">
        <v>75</v>
      </c>
      <c r="L54" s="23" t="s">
        <v>76</v>
      </c>
      <c r="M54" s="26">
        <v>0</v>
      </c>
      <c r="N54" s="26">
        <v>0</v>
      </c>
      <c r="O54" s="26">
        <v>0</v>
      </c>
      <c r="P54" s="34">
        <v>792009</v>
      </c>
      <c r="Q54" s="34">
        <v>0</v>
      </c>
      <c r="R54" s="31">
        <v>792009</v>
      </c>
      <c r="S54" s="34">
        <v>0</v>
      </c>
      <c r="T54" s="34">
        <v>0</v>
      </c>
      <c r="U54" s="34">
        <v>792009</v>
      </c>
      <c r="V54" s="342"/>
    </row>
    <row r="55" spans="1:23" s="62" customFormat="1" ht="9.4" customHeight="1" thickTop="1" thickBot="1">
      <c r="A55" s="350"/>
      <c r="B55" s="60">
        <v>7461736</v>
      </c>
      <c r="C55" s="63">
        <v>0</v>
      </c>
      <c r="D55" s="63">
        <v>0</v>
      </c>
      <c r="E55" s="69">
        <v>7461736</v>
      </c>
      <c r="F55" s="63">
        <v>6409</v>
      </c>
      <c r="G55" s="69">
        <v>6417190</v>
      </c>
      <c r="H55" s="63">
        <v>61732</v>
      </c>
      <c r="I55" s="63">
        <v>249114</v>
      </c>
      <c r="J55" s="63">
        <v>727291</v>
      </c>
      <c r="K55" s="47" t="s">
        <v>275</v>
      </c>
      <c r="L55" s="46" t="s">
        <v>77</v>
      </c>
      <c r="M55" s="61">
        <v>727291</v>
      </c>
      <c r="N55" s="61">
        <v>249114</v>
      </c>
      <c r="O55" s="70">
        <v>61732</v>
      </c>
      <c r="P55" s="70">
        <v>6417190</v>
      </c>
      <c r="Q55" s="70">
        <v>6409</v>
      </c>
      <c r="R55" s="70">
        <v>7461736</v>
      </c>
      <c r="S55" s="61">
        <v>0</v>
      </c>
      <c r="T55" s="61">
        <v>0</v>
      </c>
      <c r="U55" s="70">
        <v>7461736</v>
      </c>
      <c r="V55" s="338" t="s">
        <v>280</v>
      </c>
      <c r="W55" s="11"/>
    </row>
    <row r="56" spans="1:23" s="62" customFormat="1" ht="9.4" customHeight="1" thickTop="1">
      <c r="A56" s="328" t="s">
        <v>280</v>
      </c>
      <c r="B56" s="61">
        <v>0</v>
      </c>
      <c r="C56" s="61">
        <v>0</v>
      </c>
      <c r="D56" s="61">
        <v>0</v>
      </c>
      <c r="E56" s="61">
        <v>0</v>
      </c>
      <c r="F56" s="61">
        <v>0</v>
      </c>
      <c r="G56" s="61">
        <v>0</v>
      </c>
      <c r="H56" s="61">
        <v>0</v>
      </c>
      <c r="I56" s="61">
        <v>0</v>
      </c>
      <c r="J56" s="61">
        <v>0</v>
      </c>
      <c r="K56" s="45" t="s">
        <v>274</v>
      </c>
      <c r="L56" s="46" t="s">
        <v>403</v>
      </c>
      <c r="M56" s="59">
        <v>727291</v>
      </c>
      <c r="N56" s="59">
        <v>249114</v>
      </c>
      <c r="O56" s="59">
        <v>748822</v>
      </c>
      <c r="P56" s="59">
        <v>5625181</v>
      </c>
      <c r="Q56" s="59">
        <v>111328</v>
      </c>
      <c r="R56" s="66">
        <v>7461736</v>
      </c>
      <c r="S56" s="59">
        <v>0</v>
      </c>
      <c r="T56" s="59">
        <v>0</v>
      </c>
      <c r="U56" s="59">
        <v>7461736</v>
      </c>
      <c r="V56" s="339"/>
      <c r="W56" s="11"/>
    </row>
    <row r="57" spans="1:23" ht="9.4" customHeight="1">
      <c r="A57" s="329"/>
      <c r="B57" s="21">
        <v>6337208</v>
      </c>
      <c r="C57" s="21">
        <v>0</v>
      </c>
      <c r="D57" s="21">
        <v>0</v>
      </c>
      <c r="E57" s="21">
        <v>6337208</v>
      </c>
      <c r="F57" s="21">
        <v>0</v>
      </c>
      <c r="G57" s="21">
        <v>5492094</v>
      </c>
      <c r="H57" s="21">
        <v>845114</v>
      </c>
      <c r="I57" s="21">
        <v>0</v>
      </c>
      <c r="J57" s="21">
        <v>0</v>
      </c>
      <c r="K57" s="22" t="s">
        <v>78</v>
      </c>
      <c r="L57" s="23" t="s">
        <v>79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6337208</v>
      </c>
      <c r="U57" s="21">
        <v>6337208</v>
      </c>
      <c r="V57" s="339"/>
    </row>
    <row r="58" spans="1:23" ht="9.4" customHeight="1">
      <c r="A58" s="329"/>
      <c r="B58" s="21">
        <v>6337208</v>
      </c>
      <c r="C58" s="21">
        <v>0</v>
      </c>
      <c r="D58" s="21">
        <v>0</v>
      </c>
      <c r="E58" s="21">
        <v>6337208</v>
      </c>
      <c r="F58" s="21">
        <v>104919</v>
      </c>
      <c r="G58" s="21">
        <v>4700085</v>
      </c>
      <c r="H58" s="21">
        <v>1532204</v>
      </c>
      <c r="I58" s="21">
        <v>0</v>
      </c>
      <c r="J58" s="21">
        <v>0</v>
      </c>
      <c r="K58" s="22" t="s">
        <v>80</v>
      </c>
      <c r="L58" s="23" t="s">
        <v>81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6337208</v>
      </c>
      <c r="U58" s="21">
        <v>6337208</v>
      </c>
      <c r="V58" s="339"/>
    </row>
    <row r="59" spans="1:23" ht="10.5" customHeight="1">
      <c r="A59" s="329"/>
      <c r="B59" s="21">
        <v>47061</v>
      </c>
      <c r="C59" s="21">
        <v>0</v>
      </c>
      <c r="D59" s="21">
        <v>0</v>
      </c>
      <c r="E59" s="21">
        <v>47061</v>
      </c>
      <c r="F59" s="21">
        <v>0</v>
      </c>
      <c r="G59" s="21">
        <v>0</v>
      </c>
      <c r="H59" s="21">
        <v>28647</v>
      </c>
      <c r="I59" s="21">
        <v>18414</v>
      </c>
      <c r="J59" s="21">
        <v>0</v>
      </c>
      <c r="K59" s="35" t="s">
        <v>82</v>
      </c>
      <c r="L59" s="23" t="s">
        <v>404</v>
      </c>
      <c r="M59" s="21">
        <v>0</v>
      </c>
      <c r="N59" s="21">
        <v>0</v>
      </c>
      <c r="O59" s="21">
        <v>0</v>
      </c>
      <c r="P59" s="21">
        <v>47061</v>
      </c>
      <c r="Q59" s="21">
        <v>0</v>
      </c>
      <c r="R59" s="21">
        <v>47061</v>
      </c>
      <c r="S59" s="21">
        <v>0</v>
      </c>
      <c r="T59" s="21">
        <v>0</v>
      </c>
      <c r="U59" s="21">
        <v>47061</v>
      </c>
      <c r="V59" s="339"/>
    </row>
    <row r="60" spans="1:23" s="62" customFormat="1" ht="9.4" customHeight="1">
      <c r="A60" s="329"/>
      <c r="B60" s="60">
        <v>1124528</v>
      </c>
      <c r="C60" s="59">
        <v>0</v>
      </c>
      <c r="D60" s="59">
        <v>0</v>
      </c>
      <c r="E60" s="59">
        <v>1124528</v>
      </c>
      <c r="F60" s="59">
        <v>6409</v>
      </c>
      <c r="G60" s="59">
        <f>G55-G57-G59+P59</f>
        <v>972157</v>
      </c>
      <c r="H60" s="59">
        <f>H53-H58-H59</f>
        <v>-812029</v>
      </c>
      <c r="I60" s="59">
        <f>I55-I59</f>
        <v>230700</v>
      </c>
      <c r="J60" s="59">
        <v>727291</v>
      </c>
      <c r="K60" s="47" t="s">
        <v>276</v>
      </c>
      <c r="L60" s="46" t="s">
        <v>84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59">
        <v>0</v>
      </c>
      <c r="T60" s="59">
        <v>0</v>
      </c>
      <c r="U60" s="59">
        <v>0</v>
      </c>
      <c r="V60" s="339"/>
      <c r="W60" s="11"/>
    </row>
    <row r="61" spans="1:23" s="62" customFormat="1" ht="9.4" customHeight="1" thickBot="1">
      <c r="A61" s="330"/>
      <c r="B61" s="63">
        <v>101821</v>
      </c>
      <c r="C61" s="63">
        <v>0</v>
      </c>
      <c r="D61" s="63">
        <v>101821</v>
      </c>
      <c r="E61" s="63">
        <v>0</v>
      </c>
      <c r="F61" s="63">
        <v>0</v>
      </c>
      <c r="G61" s="63"/>
      <c r="H61" s="63">
        <v>0</v>
      </c>
      <c r="I61" s="63">
        <v>0</v>
      </c>
      <c r="J61" s="63">
        <v>0</v>
      </c>
      <c r="K61" s="48" t="s">
        <v>277</v>
      </c>
      <c r="L61" s="49" t="s">
        <v>85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3">
        <v>0</v>
      </c>
      <c r="T61" s="63">
        <v>0</v>
      </c>
      <c r="U61" s="63">
        <v>0</v>
      </c>
      <c r="V61" s="340"/>
      <c r="W61" s="11"/>
    </row>
    <row r="62" spans="1:23" ht="9.75" customHeight="1" thickTop="1">
      <c r="A62" s="43" t="s">
        <v>95</v>
      </c>
      <c r="B62" s="21"/>
      <c r="C62" s="21"/>
      <c r="D62" s="21"/>
      <c r="E62" s="21"/>
      <c r="F62" s="21"/>
      <c r="G62" s="21"/>
      <c r="H62" s="21"/>
      <c r="I62" s="21"/>
      <c r="J62" s="21"/>
      <c r="K62" s="36"/>
      <c r="L62" s="37"/>
      <c r="M62" s="57" t="s">
        <v>95</v>
      </c>
      <c r="N62" s="21"/>
      <c r="O62" s="21"/>
      <c r="P62" s="21"/>
      <c r="Q62" s="21"/>
      <c r="R62" s="21"/>
      <c r="S62" s="21"/>
      <c r="T62" s="21"/>
      <c r="U62" s="21"/>
      <c r="V62" s="38"/>
    </row>
    <row r="63" spans="1:23" ht="9.75" customHeight="1" thickBot="1">
      <c r="A63" s="44" t="s">
        <v>96</v>
      </c>
      <c r="B63" s="26"/>
      <c r="C63" s="39"/>
      <c r="D63" s="26"/>
      <c r="E63" s="26"/>
      <c r="F63" s="26"/>
      <c r="G63" s="26"/>
      <c r="H63" s="26"/>
      <c r="I63" s="26"/>
      <c r="J63" s="26"/>
      <c r="K63" s="34"/>
      <c r="L63" s="40"/>
      <c r="M63" s="58" t="s">
        <v>284</v>
      </c>
      <c r="N63" s="26"/>
      <c r="O63" s="26"/>
      <c r="P63" s="26"/>
      <c r="Q63" s="26"/>
      <c r="R63" s="26"/>
      <c r="S63" s="26"/>
      <c r="T63" s="26"/>
      <c r="U63" s="26"/>
      <c r="V63" s="17"/>
    </row>
    <row r="64" spans="1:23" s="62" customFormat="1" ht="9.4" customHeight="1" thickTop="1">
      <c r="A64" s="294" t="s">
        <v>104</v>
      </c>
      <c r="B64" s="68">
        <v>0</v>
      </c>
      <c r="C64" s="61">
        <v>0</v>
      </c>
      <c r="D64" s="61">
        <v>0</v>
      </c>
      <c r="E64" s="61">
        <v>0</v>
      </c>
      <c r="F64" s="61">
        <v>0</v>
      </c>
      <c r="G64" s="61">
        <v>0</v>
      </c>
      <c r="H64" s="61">
        <v>0</v>
      </c>
      <c r="I64" s="61">
        <v>0</v>
      </c>
      <c r="J64" s="61">
        <v>0</v>
      </c>
      <c r="K64" s="50" t="s">
        <v>276</v>
      </c>
      <c r="L64" s="51" t="s">
        <v>84</v>
      </c>
      <c r="M64" s="68">
        <v>727291</v>
      </c>
      <c r="N64" s="68">
        <v>230700</v>
      </c>
      <c r="O64" s="68">
        <v>-812029</v>
      </c>
      <c r="P64" s="68">
        <v>972157</v>
      </c>
      <c r="Q64" s="68">
        <v>6409</v>
      </c>
      <c r="R64" s="66">
        <v>1124528</v>
      </c>
      <c r="S64" s="68">
        <v>0</v>
      </c>
      <c r="T64" s="68">
        <v>0</v>
      </c>
      <c r="U64" s="71">
        <v>1124528</v>
      </c>
      <c r="V64" s="301" t="s">
        <v>104</v>
      </c>
      <c r="W64" s="11"/>
    </row>
    <row r="65" spans="1:23" s="62" customFormat="1" ht="9.4" customHeight="1">
      <c r="A65" s="295"/>
      <c r="B65" s="59">
        <v>0</v>
      </c>
      <c r="C65" s="59">
        <v>0</v>
      </c>
      <c r="D65" s="59">
        <v>0</v>
      </c>
      <c r="E65" s="59">
        <v>0</v>
      </c>
      <c r="F65" s="59">
        <v>0</v>
      </c>
      <c r="G65" s="59">
        <v>0</v>
      </c>
      <c r="H65" s="59">
        <v>0</v>
      </c>
      <c r="I65" s="59">
        <v>0</v>
      </c>
      <c r="J65" s="59">
        <v>0</v>
      </c>
      <c r="K65" s="47" t="s">
        <v>277</v>
      </c>
      <c r="L65" s="46" t="s">
        <v>85</v>
      </c>
      <c r="M65" s="59">
        <v>0</v>
      </c>
      <c r="N65" s="59">
        <v>0</v>
      </c>
      <c r="O65" s="59">
        <v>0</v>
      </c>
      <c r="P65" s="59">
        <v>0</v>
      </c>
      <c r="Q65" s="59">
        <v>0</v>
      </c>
      <c r="R65" s="59">
        <v>0</v>
      </c>
      <c r="S65" s="59">
        <v>101821</v>
      </c>
      <c r="T65" s="59">
        <v>0</v>
      </c>
      <c r="U65" s="59">
        <v>101821</v>
      </c>
      <c r="V65" s="302"/>
      <c r="W65" s="11"/>
    </row>
    <row r="66" spans="1:23" ht="9.4" customHeight="1">
      <c r="A66" s="295"/>
      <c r="B66" s="21">
        <v>1260227</v>
      </c>
      <c r="C66" s="21">
        <v>0</v>
      </c>
      <c r="D66" s="21">
        <v>0</v>
      </c>
      <c r="E66" s="21">
        <v>1260227</v>
      </c>
      <c r="F66" s="21">
        <v>4949</v>
      </c>
      <c r="G66" s="21">
        <v>405061</v>
      </c>
      <c r="H66" s="21">
        <v>139686</v>
      </c>
      <c r="I66" s="21">
        <v>13718</v>
      </c>
      <c r="J66" s="21">
        <v>696813</v>
      </c>
      <c r="K66" s="22" t="s">
        <v>86</v>
      </c>
      <c r="L66" s="23" t="s">
        <v>87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1260227</v>
      </c>
      <c r="U66" s="21">
        <v>1260227</v>
      </c>
      <c r="V66" s="302"/>
    </row>
    <row r="67" spans="1:23" ht="9.4" customHeight="1">
      <c r="A67" s="295"/>
      <c r="B67" s="21">
        <v>-33878</v>
      </c>
      <c r="C67" s="21">
        <v>0</v>
      </c>
      <c r="D67" s="21">
        <v>0</v>
      </c>
      <c r="E67" s="21">
        <v>-33878</v>
      </c>
      <c r="F67" s="21">
        <v>0</v>
      </c>
      <c r="G67" s="21">
        <v>0</v>
      </c>
      <c r="H67" s="21">
        <v>0</v>
      </c>
      <c r="I67" s="21">
        <v>0</v>
      </c>
      <c r="J67" s="21">
        <v>-33878</v>
      </c>
      <c r="K67" s="22" t="s">
        <v>88</v>
      </c>
      <c r="L67" s="23" t="s">
        <v>89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-33878</v>
      </c>
      <c r="U67" s="21">
        <v>-33878</v>
      </c>
      <c r="V67" s="302"/>
    </row>
    <row r="68" spans="1:23" ht="9.4" customHeight="1">
      <c r="A68" s="295"/>
      <c r="B68" s="21">
        <v>0</v>
      </c>
      <c r="C68" s="21">
        <v>0</v>
      </c>
      <c r="D68" s="21">
        <v>722</v>
      </c>
      <c r="E68" s="21">
        <v>-722</v>
      </c>
      <c r="F68" s="21">
        <v>0</v>
      </c>
      <c r="G68" s="21">
        <v>0</v>
      </c>
      <c r="H68" s="21">
        <v>-6588</v>
      </c>
      <c r="I68" s="21">
        <v>0</v>
      </c>
      <c r="J68" s="21">
        <v>5866</v>
      </c>
      <c r="K68" s="22" t="s">
        <v>292</v>
      </c>
      <c r="L68" s="23" t="s">
        <v>410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302"/>
    </row>
    <row r="69" spans="1:23" ht="9.4" customHeight="1">
      <c r="A69" s="295"/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2" t="s">
        <v>91</v>
      </c>
      <c r="L69" s="23" t="s">
        <v>92</v>
      </c>
      <c r="M69" s="21">
        <v>450</v>
      </c>
      <c r="N69" s="21">
        <v>0</v>
      </c>
      <c r="O69" s="21">
        <v>54239</v>
      </c>
      <c r="P69" s="21">
        <v>1597</v>
      </c>
      <c r="Q69" s="21">
        <v>2867</v>
      </c>
      <c r="R69" s="21">
        <v>59153</v>
      </c>
      <c r="S69" s="21">
        <v>251</v>
      </c>
      <c r="T69" s="21">
        <v>0</v>
      </c>
      <c r="U69" s="21">
        <v>59404</v>
      </c>
      <c r="V69" s="302"/>
    </row>
    <row r="70" spans="1:23" ht="9.4" customHeight="1">
      <c r="A70" s="295"/>
      <c r="B70" s="21">
        <v>0</v>
      </c>
      <c r="C70" s="21">
        <v>0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2" t="s">
        <v>91</v>
      </c>
      <c r="L70" s="23" t="s">
        <v>93</v>
      </c>
      <c r="M70" s="24">
        <v>-658</v>
      </c>
      <c r="N70" s="24">
        <v>-65</v>
      </c>
      <c r="O70" s="24">
        <v>-27121</v>
      </c>
      <c r="P70" s="24">
        <v>-10748</v>
      </c>
      <c r="Q70" s="24">
        <v>0</v>
      </c>
      <c r="R70" s="24">
        <v>-38592</v>
      </c>
      <c r="S70" s="24">
        <v>-20812</v>
      </c>
      <c r="T70" s="21">
        <v>0</v>
      </c>
      <c r="U70" s="21">
        <v>-59404</v>
      </c>
      <c r="V70" s="302"/>
    </row>
    <row r="71" spans="1:23" s="62" customFormat="1" ht="9.4" customHeight="1">
      <c r="A71" s="295"/>
      <c r="B71" s="59">
        <v>0</v>
      </c>
      <c r="C71" s="59">
        <v>0</v>
      </c>
      <c r="D71" s="59">
        <v>80538</v>
      </c>
      <c r="E71" s="59">
        <v>-80538</v>
      </c>
      <c r="F71" s="59">
        <v>4327</v>
      </c>
      <c r="G71" s="59">
        <v>557945</v>
      </c>
      <c r="H71" s="59">
        <v>-918009</v>
      </c>
      <c r="I71" s="59">
        <v>216917</v>
      </c>
      <c r="J71" s="59">
        <f>M64-J66-J67-J68+M69+M70</f>
        <v>58282</v>
      </c>
      <c r="K71" s="47" t="s">
        <v>278</v>
      </c>
      <c r="L71" s="46" t="s">
        <v>189</v>
      </c>
      <c r="M71" s="59">
        <v>0</v>
      </c>
      <c r="N71" s="59">
        <v>0</v>
      </c>
      <c r="O71" s="59">
        <v>0</v>
      </c>
      <c r="P71" s="59">
        <v>0</v>
      </c>
      <c r="Q71" s="59">
        <v>0</v>
      </c>
      <c r="R71" s="59">
        <v>0</v>
      </c>
      <c r="S71" s="59">
        <v>0</v>
      </c>
      <c r="T71" s="59">
        <v>0</v>
      </c>
      <c r="U71" s="59">
        <v>0</v>
      </c>
      <c r="V71" s="302"/>
      <c r="W71" s="11"/>
    </row>
    <row r="72" spans="1:23" s="62" customFormat="1" ht="19.899999999999999" customHeight="1" thickBot="1">
      <c r="A72" s="296"/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48" t="s">
        <v>279</v>
      </c>
      <c r="L72" s="49" t="s">
        <v>94</v>
      </c>
      <c r="M72" s="63">
        <v>727083</v>
      </c>
      <c r="N72" s="63">
        <v>230635</v>
      </c>
      <c r="O72" s="63">
        <v>-784911</v>
      </c>
      <c r="P72" s="63">
        <v>963006</v>
      </c>
      <c r="Q72" s="63">
        <v>9276</v>
      </c>
      <c r="R72" s="63">
        <v>1145089</v>
      </c>
      <c r="S72" s="69">
        <v>81260</v>
      </c>
      <c r="T72" s="63">
        <v>0</v>
      </c>
      <c r="U72" s="69">
        <v>1226349</v>
      </c>
      <c r="V72" s="303"/>
      <c r="W72" s="11"/>
    </row>
    <row r="73" spans="1:23" ht="20.100000000000001" customHeight="1" thickTop="1">
      <c r="A73" s="72"/>
      <c r="B73" s="73"/>
      <c r="C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T73" s="73"/>
      <c r="U73" s="73"/>
      <c r="V73" s="74"/>
    </row>
    <row r="74" spans="1:23" ht="21" customHeight="1">
      <c r="A74" s="325" t="s">
        <v>0</v>
      </c>
      <c r="B74" s="325" t="s">
        <v>1</v>
      </c>
      <c r="C74" s="313" t="s">
        <v>5</v>
      </c>
      <c r="D74" s="314"/>
      <c r="E74" s="310" t="s">
        <v>267</v>
      </c>
      <c r="F74" s="313" t="s">
        <v>371</v>
      </c>
      <c r="G74" s="314"/>
      <c r="H74" s="310" t="s">
        <v>293</v>
      </c>
      <c r="I74" s="310" t="s">
        <v>266</v>
      </c>
      <c r="J74" s="310" t="s">
        <v>265</v>
      </c>
      <c r="K74" s="325" t="s">
        <v>3</v>
      </c>
      <c r="L74" s="325" t="s">
        <v>391</v>
      </c>
      <c r="M74" s="310" t="s">
        <v>265</v>
      </c>
      <c r="N74" s="310" t="s">
        <v>266</v>
      </c>
      <c r="O74" s="310" t="s">
        <v>293</v>
      </c>
      <c r="P74" s="313" t="s">
        <v>371</v>
      </c>
      <c r="Q74" s="314"/>
      <c r="R74" s="310" t="s">
        <v>267</v>
      </c>
      <c r="S74" s="313" t="s">
        <v>5</v>
      </c>
      <c r="T74" s="314"/>
      <c r="U74" s="325" t="s">
        <v>1</v>
      </c>
      <c r="V74" s="325" t="s">
        <v>0</v>
      </c>
    </row>
    <row r="75" spans="1:23" ht="15" customHeight="1">
      <c r="A75" s="326"/>
      <c r="B75" s="326"/>
      <c r="C75" s="315"/>
      <c r="D75" s="316"/>
      <c r="E75" s="311"/>
      <c r="F75" s="315"/>
      <c r="G75" s="316"/>
      <c r="H75" s="311"/>
      <c r="I75" s="311"/>
      <c r="J75" s="311"/>
      <c r="K75" s="326"/>
      <c r="L75" s="326"/>
      <c r="M75" s="311"/>
      <c r="N75" s="311"/>
      <c r="O75" s="311"/>
      <c r="P75" s="315"/>
      <c r="Q75" s="316"/>
      <c r="R75" s="311"/>
      <c r="S75" s="315"/>
      <c r="T75" s="316"/>
      <c r="U75" s="326"/>
      <c r="V75" s="326"/>
    </row>
    <row r="76" spans="1:23" ht="15" customHeight="1">
      <c r="A76" s="326"/>
      <c r="B76" s="326"/>
      <c r="C76" s="315"/>
      <c r="D76" s="316"/>
      <c r="E76" s="311"/>
      <c r="F76" s="315"/>
      <c r="G76" s="316"/>
      <c r="H76" s="311"/>
      <c r="I76" s="311"/>
      <c r="J76" s="311"/>
      <c r="K76" s="326"/>
      <c r="L76" s="326"/>
      <c r="M76" s="311"/>
      <c r="N76" s="311"/>
      <c r="O76" s="311"/>
      <c r="P76" s="315"/>
      <c r="Q76" s="316"/>
      <c r="R76" s="311"/>
      <c r="S76" s="315"/>
      <c r="T76" s="316"/>
      <c r="U76" s="326"/>
      <c r="V76" s="326"/>
    </row>
    <row r="77" spans="1:23" ht="15" customHeight="1">
      <c r="A77" s="327"/>
      <c r="B77" s="327"/>
      <c r="C77" s="317"/>
      <c r="D77" s="318"/>
      <c r="E77" s="312"/>
      <c r="F77" s="317"/>
      <c r="G77" s="318"/>
      <c r="H77" s="312"/>
      <c r="I77" s="312"/>
      <c r="J77" s="312"/>
      <c r="K77" s="327"/>
      <c r="L77" s="327"/>
      <c r="M77" s="312"/>
      <c r="N77" s="312"/>
      <c r="O77" s="312"/>
      <c r="P77" s="317"/>
      <c r="Q77" s="318"/>
      <c r="R77" s="312"/>
      <c r="S77" s="317"/>
      <c r="T77" s="318"/>
      <c r="U77" s="327"/>
      <c r="V77" s="327"/>
    </row>
    <row r="78" spans="1:23" ht="9.75" customHeight="1">
      <c r="A78" s="41"/>
      <c r="B78" s="12"/>
      <c r="C78" s="13"/>
      <c r="D78" s="13"/>
      <c r="E78" s="13"/>
      <c r="F78" s="12"/>
      <c r="G78" s="12"/>
      <c r="H78" s="13"/>
      <c r="I78" s="13"/>
      <c r="J78" s="13">
        <f>J80-M80</f>
        <v>58282.020000000135</v>
      </c>
      <c r="K78" s="77"/>
      <c r="L78" s="77"/>
      <c r="M78" s="55"/>
      <c r="N78" s="13"/>
      <c r="O78" s="13"/>
      <c r="P78" s="12"/>
      <c r="Q78" s="12"/>
      <c r="R78" s="13"/>
      <c r="S78" s="13"/>
      <c r="T78" s="13"/>
      <c r="U78" s="12"/>
      <c r="V78" s="14"/>
    </row>
    <row r="79" spans="1:23" ht="9.75" customHeight="1" thickBot="1">
      <c r="A79" s="44" t="s">
        <v>96</v>
      </c>
      <c r="B79" s="26"/>
      <c r="C79" s="39"/>
      <c r="D79" s="26"/>
      <c r="E79" s="26"/>
      <c r="F79" s="26"/>
      <c r="G79" s="26"/>
      <c r="H79" s="26"/>
      <c r="I79" s="26"/>
      <c r="J79" s="26"/>
      <c r="K79" s="34"/>
      <c r="L79" s="40"/>
      <c r="M79" s="58" t="s">
        <v>284</v>
      </c>
      <c r="N79" s="26"/>
      <c r="O79" s="26"/>
      <c r="P79" s="26"/>
      <c r="Q79" s="26"/>
      <c r="R79" s="26"/>
      <c r="S79" s="26"/>
      <c r="T79" s="26"/>
      <c r="U79" s="26"/>
      <c r="V79" s="17"/>
    </row>
    <row r="80" spans="1:23" s="25" customFormat="1" ht="19.5" customHeight="1" thickTop="1">
      <c r="A80" s="294" t="s">
        <v>294</v>
      </c>
      <c r="B80" s="81">
        <f>E80+D80</f>
        <v>3631117.26</v>
      </c>
      <c r="C80" s="61"/>
      <c r="D80" s="61">
        <v>-140248.03999999998</v>
      </c>
      <c r="E80" s="59">
        <v>3771365.3</v>
      </c>
      <c r="F80" s="358">
        <v>732623.96</v>
      </c>
      <c r="G80" s="358"/>
      <c r="H80" s="59">
        <v>-266317.12</v>
      </c>
      <c r="I80" s="59">
        <v>2508396.4899999998</v>
      </c>
      <c r="J80" s="59">
        <v>796661.97000000009</v>
      </c>
      <c r="K80" s="47" t="s">
        <v>295</v>
      </c>
      <c r="L80" s="46" t="s">
        <v>296</v>
      </c>
      <c r="M80" s="59">
        <v>738379.95</v>
      </c>
      <c r="N80" s="59">
        <v>2291479.5</v>
      </c>
      <c r="O80" s="59">
        <v>651691.87999999989</v>
      </c>
      <c r="P80" s="298">
        <v>170351.96000000002</v>
      </c>
      <c r="Q80" s="298"/>
      <c r="R80" s="59">
        <v>3851903.29</v>
      </c>
      <c r="S80" s="61">
        <v>-220786.02999999997</v>
      </c>
      <c r="T80" s="61"/>
      <c r="U80" s="81">
        <f>R80+S80</f>
        <v>3631117.2600000002</v>
      </c>
      <c r="V80" s="301" t="s">
        <v>294</v>
      </c>
    </row>
    <row r="81" spans="1:22" s="25" customFormat="1" ht="9" customHeight="1">
      <c r="A81" s="295"/>
      <c r="B81" s="82">
        <f t="shared" ref="B81:B104" si="0">E81+D81</f>
        <v>38.74</v>
      </c>
      <c r="C81" s="21"/>
      <c r="D81" s="21">
        <v>0</v>
      </c>
      <c r="E81" s="21">
        <v>38.74</v>
      </c>
      <c r="F81" s="308">
        <v>0</v>
      </c>
      <c r="G81" s="308"/>
      <c r="H81" s="21">
        <v>0</v>
      </c>
      <c r="I81" s="21">
        <v>38.74</v>
      </c>
      <c r="J81" s="21">
        <v>0</v>
      </c>
      <c r="K81" s="22" t="s">
        <v>297</v>
      </c>
      <c r="L81" s="23" t="s">
        <v>298</v>
      </c>
      <c r="M81" s="21">
        <v>0</v>
      </c>
      <c r="N81" s="21">
        <v>0</v>
      </c>
      <c r="O81" s="21">
        <v>0</v>
      </c>
      <c r="P81" s="299">
        <v>0</v>
      </c>
      <c r="Q81" s="299"/>
      <c r="R81" s="21">
        <v>0</v>
      </c>
      <c r="S81" s="21">
        <v>38.74</v>
      </c>
      <c r="T81" s="21"/>
      <c r="U81" s="82">
        <f t="shared" ref="U81:U104" si="1">R81+S81</f>
        <v>38.74</v>
      </c>
      <c r="V81" s="302"/>
    </row>
    <row r="82" spans="1:22" s="25" customFormat="1" ht="9" customHeight="1">
      <c r="A82" s="295"/>
      <c r="B82" s="82">
        <f t="shared" si="0"/>
        <v>266515.37000000005</v>
      </c>
      <c r="C82" s="21"/>
      <c r="D82" s="124">
        <v>3836.96</v>
      </c>
      <c r="E82" s="21">
        <v>262678.41000000003</v>
      </c>
      <c r="F82" s="308">
        <v>356546.18</v>
      </c>
      <c r="G82" s="308"/>
      <c r="H82" s="21">
        <v>-364233.19</v>
      </c>
      <c r="I82" s="21">
        <v>120408.22000000002</v>
      </c>
      <c r="J82" s="21">
        <v>149957.20000000001</v>
      </c>
      <c r="K82" s="22" t="s">
        <v>299</v>
      </c>
      <c r="L82" s="23" t="s">
        <v>300</v>
      </c>
      <c r="M82" s="21">
        <v>0</v>
      </c>
      <c r="N82" s="21">
        <v>163907.43</v>
      </c>
      <c r="O82" s="21">
        <v>6903.07</v>
      </c>
      <c r="P82" s="299">
        <v>0</v>
      </c>
      <c r="Q82" s="299"/>
      <c r="R82" s="21">
        <v>170810.5</v>
      </c>
      <c r="S82" s="21">
        <v>95704.89</v>
      </c>
      <c r="T82" s="21"/>
      <c r="U82" s="82">
        <f t="shared" si="1"/>
        <v>266515.39</v>
      </c>
      <c r="V82" s="302"/>
    </row>
    <row r="83" spans="1:22" s="25" customFormat="1" ht="9" customHeight="1">
      <c r="A83" s="295"/>
      <c r="B83" s="82">
        <f t="shared" si="0"/>
        <v>89755.859999999986</v>
      </c>
      <c r="C83" s="21"/>
      <c r="D83" s="124">
        <v>0</v>
      </c>
      <c r="E83" s="21">
        <v>89755.859999999986</v>
      </c>
      <c r="F83" s="308">
        <v>80391.679999999993</v>
      </c>
      <c r="G83" s="308"/>
      <c r="H83" s="21">
        <v>0</v>
      </c>
      <c r="I83" s="21">
        <v>9364.18</v>
      </c>
      <c r="J83" s="21">
        <v>0</v>
      </c>
      <c r="K83" s="22" t="s">
        <v>301</v>
      </c>
      <c r="L83" s="23" t="s">
        <v>302</v>
      </c>
      <c r="M83" s="21">
        <v>0</v>
      </c>
      <c r="N83" s="21">
        <v>89755.86</v>
      </c>
      <c r="O83" s="21">
        <v>0</v>
      </c>
      <c r="P83" s="299">
        <v>0</v>
      </c>
      <c r="Q83" s="299"/>
      <c r="R83" s="21">
        <v>89755.86</v>
      </c>
      <c r="S83" s="21">
        <v>0</v>
      </c>
      <c r="T83" s="21"/>
      <c r="U83" s="82">
        <f t="shared" si="1"/>
        <v>89755.86</v>
      </c>
      <c r="V83" s="302"/>
    </row>
    <row r="84" spans="1:22" s="25" customFormat="1" ht="9" customHeight="1">
      <c r="A84" s="295"/>
      <c r="B84" s="82">
        <f t="shared" si="0"/>
        <v>-156119.74000000002</v>
      </c>
      <c r="C84" s="21"/>
      <c r="D84" s="124">
        <v>3337.78</v>
      </c>
      <c r="E84" s="21">
        <v>-159457.52000000002</v>
      </c>
      <c r="F84" s="308">
        <v>47522.85</v>
      </c>
      <c r="G84" s="308"/>
      <c r="H84" s="21">
        <v>-367510.9</v>
      </c>
      <c r="I84" s="21">
        <v>65703.240000000005</v>
      </c>
      <c r="J84" s="21">
        <v>94827.29</v>
      </c>
      <c r="K84" s="22" t="s">
        <v>303</v>
      </c>
      <c r="L84" s="23" t="s">
        <v>304</v>
      </c>
      <c r="M84" s="21">
        <v>0</v>
      </c>
      <c r="N84" s="21">
        <v>-244738.87</v>
      </c>
      <c r="O84" s="21">
        <v>0</v>
      </c>
      <c r="P84" s="299">
        <v>0</v>
      </c>
      <c r="Q84" s="299"/>
      <c r="R84" s="21">
        <v>-244738.87</v>
      </c>
      <c r="S84" s="21">
        <v>88619.14</v>
      </c>
      <c r="T84" s="21"/>
      <c r="U84" s="82">
        <f t="shared" si="1"/>
        <v>-156119.72999999998</v>
      </c>
      <c r="V84" s="302"/>
    </row>
    <row r="85" spans="1:22" s="25" customFormat="1" ht="9" customHeight="1">
      <c r="A85" s="295"/>
      <c r="B85" s="82">
        <f t="shared" si="0"/>
        <v>332879.25</v>
      </c>
      <c r="C85" s="21"/>
      <c r="D85" s="124">
        <v>499.18</v>
      </c>
      <c r="E85" s="21">
        <v>332380.07</v>
      </c>
      <c r="F85" s="308">
        <v>228631.65</v>
      </c>
      <c r="G85" s="308"/>
      <c r="H85" s="21">
        <v>3277.71</v>
      </c>
      <c r="I85" s="21">
        <v>45340.800000000003</v>
      </c>
      <c r="J85" s="21">
        <v>55129.91</v>
      </c>
      <c r="K85" s="22" t="s">
        <v>305</v>
      </c>
      <c r="L85" s="23" t="s">
        <v>306</v>
      </c>
      <c r="M85" s="21">
        <v>0</v>
      </c>
      <c r="N85" s="21">
        <v>318890.44</v>
      </c>
      <c r="O85" s="21">
        <v>6903.07</v>
      </c>
      <c r="P85" s="299">
        <v>0</v>
      </c>
      <c r="Q85" s="299"/>
      <c r="R85" s="21">
        <v>325793.51</v>
      </c>
      <c r="S85" s="21">
        <v>7085.75</v>
      </c>
      <c r="T85" s="21"/>
      <c r="U85" s="82">
        <f t="shared" si="1"/>
        <v>332879.26</v>
      </c>
      <c r="V85" s="302"/>
    </row>
    <row r="86" spans="1:22" s="25" customFormat="1" ht="9" customHeight="1">
      <c r="A86" s="295"/>
      <c r="B86" s="82">
        <f t="shared" si="0"/>
        <v>1098347.8</v>
      </c>
      <c r="C86" s="21"/>
      <c r="D86" s="124">
        <v>10607.549999999996</v>
      </c>
      <c r="E86" s="21">
        <v>1087740.25</v>
      </c>
      <c r="F86" s="308">
        <v>181068.41999999998</v>
      </c>
      <c r="G86" s="308"/>
      <c r="H86" s="21">
        <v>4204.43</v>
      </c>
      <c r="I86" s="21">
        <v>534497.35</v>
      </c>
      <c r="J86" s="21">
        <v>367970.05</v>
      </c>
      <c r="K86" s="22" t="s">
        <v>307</v>
      </c>
      <c r="L86" s="23" t="s">
        <v>308</v>
      </c>
      <c r="M86" s="21">
        <v>15866.38</v>
      </c>
      <c r="N86" s="21">
        <v>468794.66</v>
      </c>
      <c r="O86" s="21">
        <v>742000.17</v>
      </c>
      <c r="P86" s="299">
        <v>0</v>
      </c>
      <c r="Q86" s="299"/>
      <c r="R86" s="21">
        <v>1226661.21</v>
      </c>
      <c r="S86" s="21">
        <v>-128313.41</v>
      </c>
      <c r="T86" s="21"/>
      <c r="U86" s="82">
        <f t="shared" si="1"/>
        <v>1098347.8</v>
      </c>
      <c r="V86" s="302"/>
    </row>
    <row r="87" spans="1:22" s="25" customFormat="1" ht="9" customHeight="1">
      <c r="A87" s="295"/>
      <c r="B87" s="82">
        <f t="shared" si="0"/>
        <v>823925.29</v>
      </c>
      <c r="C87" s="21"/>
      <c r="D87" s="124">
        <v>50890.63</v>
      </c>
      <c r="E87" s="21">
        <v>773034.66</v>
      </c>
      <c r="F87" s="308">
        <v>4651.6099999999997</v>
      </c>
      <c r="G87" s="308"/>
      <c r="H87" s="21">
        <v>6486.81</v>
      </c>
      <c r="I87" s="21">
        <v>588471.38</v>
      </c>
      <c r="J87" s="21">
        <v>173424.86</v>
      </c>
      <c r="K87" s="22" t="s">
        <v>309</v>
      </c>
      <c r="L87" s="23" t="s">
        <v>310</v>
      </c>
      <c r="M87" s="21">
        <v>434.83</v>
      </c>
      <c r="N87" s="21">
        <v>234878.3</v>
      </c>
      <c r="O87" s="21">
        <v>587607.06000000006</v>
      </c>
      <c r="P87" s="299">
        <v>0</v>
      </c>
      <c r="Q87" s="299"/>
      <c r="R87" s="21">
        <v>822920.19000000006</v>
      </c>
      <c r="S87" s="21">
        <v>1005.11</v>
      </c>
      <c r="T87" s="21"/>
      <c r="U87" s="82">
        <f t="shared" si="1"/>
        <v>823925.3</v>
      </c>
      <c r="V87" s="302"/>
    </row>
    <row r="88" spans="1:22" s="25" customFormat="1" ht="9" customHeight="1">
      <c r="A88" s="295"/>
      <c r="B88" s="82">
        <f t="shared" si="0"/>
        <v>274422.50999999995</v>
      </c>
      <c r="C88" s="21"/>
      <c r="D88" s="124">
        <v>-40283.08</v>
      </c>
      <c r="E88" s="21">
        <v>314705.58999999997</v>
      </c>
      <c r="F88" s="308">
        <v>176416.81</v>
      </c>
      <c r="G88" s="308"/>
      <c r="H88" s="21">
        <v>-2282.38</v>
      </c>
      <c r="I88" s="21">
        <v>-53974.03</v>
      </c>
      <c r="J88" s="21">
        <v>194545.19</v>
      </c>
      <c r="K88" s="22" t="s">
        <v>311</v>
      </c>
      <c r="L88" s="23" t="s">
        <v>312</v>
      </c>
      <c r="M88" s="21">
        <v>15431.55</v>
      </c>
      <c r="N88" s="21">
        <v>233916.36</v>
      </c>
      <c r="O88" s="21">
        <v>154393.10999999999</v>
      </c>
      <c r="P88" s="299">
        <v>0</v>
      </c>
      <c r="Q88" s="299"/>
      <c r="R88" s="21">
        <v>403741.01999999996</v>
      </c>
      <c r="S88" s="21">
        <v>-129318.52</v>
      </c>
      <c r="T88" s="21"/>
      <c r="U88" s="82">
        <f t="shared" si="1"/>
        <v>274422.49999999994</v>
      </c>
      <c r="V88" s="302"/>
    </row>
    <row r="89" spans="1:22" s="25" customFormat="1" ht="9" customHeight="1">
      <c r="A89" s="295"/>
      <c r="B89" s="82">
        <f t="shared" si="0"/>
        <v>1160492.4600000002</v>
      </c>
      <c r="C89" s="21"/>
      <c r="D89" s="124">
        <v>-70888.03</v>
      </c>
      <c r="E89" s="21">
        <v>1231380.4900000002</v>
      </c>
      <c r="F89" s="308">
        <v>392.59999999999997</v>
      </c>
      <c r="G89" s="308"/>
      <c r="H89" s="21">
        <v>77166.100000000006</v>
      </c>
      <c r="I89" s="21">
        <v>1216829.8500000001</v>
      </c>
      <c r="J89" s="21">
        <v>-63008.06</v>
      </c>
      <c r="K89" s="22" t="s">
        <v>313</v>
      </c>
      <c r="L89" s="23" t="s">
        <v>314</v>
      </c>
      <c r="M89" s="21">
        <v>309954.39</v>
      </c>
      <c r="N89" s="21">
        <v>640708.56000000006</v>
      </c>
      <c r="O89" s="21">
        <v>45872.299999999996</v>
      </c>
      <c r="P89" s="299">
        <v>159558.48000000001</v>
      </c>
      <c r="Q89" s="299"/>
      <c r="R89" s="21">
        <v>1156093.7300000002</v>
      </c>
      <c r="S89" s="21">
        <v>4398.7299999999996</v>
      </c>
      <c r="T89" s="21"/>
      <c r="U89" s="82">
        <f t="shared" si="1"/>
        <v>1160492.4600000002</v>
      </c>
      <c r="V89" s="302"/>
    </row>
    <row r="90" spans="1:22" s="25" customFormat="1" ht="9" customHeight="1">
      <c r="A90" s="295"/>
      <c r="B90" s="82">
        <f t="shared" si="0"/>
        <v>623682.91</v>
      </c>
      <c r="C90" s="21"/>
      <c r="D90" s="124">
        <v>-60148.54</v>
      </c>
      <c r="E90" s="21">
        <v>683831.45000000007</v>
      </c>
      <c r="F90" s="308">
        <v>7.03</v>
      </c>
      <c r="G90" s="308"/>
      <c r="H90" s="21">
        <v>458.16</v>
      </c>
      <c r="I90" s="21">
        <v>683014.72</v>
      </c>
      <c r="J90" s="21">
        <v>351.54</v>
      </c>
      <c r="K90" s="22" t="s">
        <v>315</v>
      </c>
      <c r="L90" s="23" t="s">
        <v>310</v>
      </c>
      <c r="M90" s="21">
        <v>32738.57</v>
      </c>
      <c r="N90" s="21">
        <v>604855.03</v>
      </c>
      <c r="O90" s="21">
        <v>351.71</v>
      </c>
      <c r="P90" s="299">
        <v>-13597.55</v>
      </c>
      <c r="Q90" s="299"/>
      <c r="R90" s="21">
        <v>624347.75999999989</v>
      </c>
      <c r="S90" s="21">
        <v>-664.85</v>
      </c>
      <c r="T90" s="21"/>
      <c r="U90" s="82">
        <f t="shared" si="1"/>
        <v>623682.90999999992</v>
      </c>
      <c r="V90" s="302"/>
    </row>
    <row r="91" spans="1:22" s="25" customFormat="1" ht="9" customHeight="1">
      <c r="A91" s="295"/>
      <c r="B91" s="82">
        <f t="shared" si="0"/>
        <v>536809.54999999993</v>
      </c>
      <c r="C91" s="21"/>
      <c r="D91" s="124">
        <v>-10739.49</v>
      </c>
      <c r="E91" s="21">
        <v>547549.03999999992</v>
      </c>
      <c r="F91" s="308">
        <v>385.57</v>
      </c>
      <c r="G91" s="308"/>
      <c r="H91" s="21">
        <v>76707.94</v>
      </c>
      <c r="I91" s="21">
        <v>533815.13</v>
      </c>
      <c r="J91" s="21">
        <v>-63359.6</v>
      </c>
      <c r="K91" s="22" t="s">
        <v>316</v>
      </c>
      <c r="L91" s="23" t="s">
        <v>312</v>
      </c>
      <c r="M91" s="21">
        <v>277215.82</v>
      </c>
      <c r="N91" s="21">
        <v>35853.53</v>
      </c>
      <c r="O91" s="21">
        <v>45520.59</v>
      </c>
      <c r="P91" s="299">
        <v>173156.03</v>
      </c>
      <c r="Q91" s="299"/>
      <c r="R91" s="21">
        <v>531745.97</v>
      </c>
      <c r="S91" s="21">
        <v>5063.58</v>
      </c>
      <c r="T91" s="21"/>
      <c r="U91" s="82">
        <f t="shared" si="1"/>
        <v>536809.54999999993</v>
      </c>
      <c r="V91" s="302"/>
    </row>
    <row r="92" spans="1:22" s="25" customFormat="1" ht="9" customHeight="1">
      <c r="A92" s="295"/>
      <c r="B92" s="82">
        <f t="shared" si="0"/>
        <v>1192640.4200000002</v>
      </c>
      <c r="C92" s="21"/>
      <c r="D92" s="124">
        <v>87595.26</v>
      </c>
      <c r="E92" s="21">
        <v>1105045.1600000001</v>
      </c>
      <c r="F92" s="308">
        <v>164152.54</v>
      </c>
      <c r="G92" s="308"/>
      <c r="H92" s="21">
        <v>11849.39</v>
      </c>
      <c r="I92" s="21">
        <v>674099.10000000009</v>
      </c>
      <c r="J92" s="21">
        <v>254944.13</v>
      </c>
      <c r="K92" s="22" t="s">
        <v>317</v>
      </c>
      <c r="L92" s="23" t="s">
        <v>318</v>
      </c>
      <c r="M92" s="21">
        <v>300967.19</v>
      </c>
      <c r="N92" s="21">
        <v>862294.48</v>
      </c>
      <c r="O92" s="21">
        <v>0</v>
      </c>
      <c r="P92" s="299">
        <v>0</v>
      </c>
      <c r="Q92" s="299"/>
      <c r="R92" s="21">
        <v>1163261.67</v>
      </c>
      <c r="S92" s="21">
        <v>29378.739999999998</v>
      </c>
      <c r="T92" s="21"/>
      <c r="U92" s="82">
        <f t="shared" si="1"/>
        <v>1192640.4099999999</v>
      </c>
      <c r="V92" s="302"/>
    </row>
    <row r="93" spans="1:22" s="25" customFormat="1" ht="9" customHeight="1">
      <c r="A93" s="295"/>
      <c r="B93" s="82">
        <f t="shared" si="0"/>
        <v>614849.43000000005</v>
      </c>
      <c r="C93" s="21"/>
      <c r="D93" s="124">
        <v>91177.08</v>
      </c>
      <c r="E93" s="21">
        <v>523672.35000000003</v>
      </c>
      <c r="F93" s="308">
        <v>205524.81</v>
      </c>
      <c r="G93" s="308"/>
      <c r="H93" s="21">
        <v>2028.15</v>
      </c>
      <c r="I93" s="21">
        <v>169927.64</v>
      </c>
      <c r="J93" s="21">
        <v>146191.75</v>
      </c>
      <c r="K93" s="22" t="s">
        <v>319</v>
      </c>
      <c r="L93" s="23" t="s">
        <v>409</v>
      </c>
      <c r="M93" s="21">
        <v>300967.19</v>
      </c>
      <c r="N93" s="21">
        <v>326842.69</v>
      </c>
      <c r="O93" s="21">
        <v>0</v>
      </c>
      <c r="P93" s="299">
        <v>0</v>
      </c>
      <c r="Q93" s="299"/>
      <c r="R93" s="21">
        <v>627809.88</v>
      </c>
      <c r="S93" s="21">
        <v>-12960.460000000001</v>
      </c>
      <c r="T93" s="21"/>
      <c r="U93" s="82">
        <f t="shared" si="1"/>
        <v>614849.42000000004</v>
      </c>
      <c r="V93" s="302"/>
    </row>
    <row r="94" spans="1:22" s="25" customFormat="1" ht="9" customHeight="1">
      <c r="A94" s="295"/>
      <c r="B94" s="82">
        <f t="shared" si="0"/>
        <v>130024.9</v>
      </c>
      <c r="C94" s="21"/>
      <c r="D94" s="124">
        <v>13298.2</v>
      </c>
      <c r="E94" s="21">
        <v>116726.7</v>
      </c>
      <c r="F94" s="308">
        <v>10768.55</v>
      </c>
      <c r="G94" s="308"/>
      <c r="H94" s="21">
        <v>0</v>
      </c>
      <c r="I94" s="21">
        <v>89006.5</v>
      </c>
      <c r="J94" s="21">
        <v>16951.650000000001</v>
      </c>
      <c r="K94" s="22" t="s">
        <v>320</v>
      </c>
      <c r="L94" s="23" t="s">
        <v>321</v>
      </c>
      <c r="M94" s="21">
        <v>35494.36</v>
      </c>
      <c r="N94" s="21">
        <v>78510.47</v>
      </c>
      <c r="O94" s="21">
        <v>0</v>
      </c>
      <c r="P94" s="299">
        <v>0</v>
      </c>
      <c r="Q94" s="299"/>
      <c r="R94" s="21">
        <v>114004.83</v>
      </c>
      <c r="S94" s="21">
        <v>16020.06</v>
      </c>
      <c r="T94" s="21"/>
      <c r="U94" s="82">
        <f t="shared" si="1"/>
        <v>130024.89</v>
      </c>
      <c r="V94" s="302"/>
    </row>
    <row r="95" spans="1:22" s="25" customFormat="1" ht="9" customHeight="1">
      <c r="A95" s="295"/>
      <c r="B95" s="82">
        <f t="shared" si="0"/>
        <v>484824.53</v>
      </c>
      <c r="C95" s="21"/>
      <c r="D95" s="124">
        <v>77878.880000000005</v>
      </c>
      <c r="E95" s="21">
        <v>406945.65</v>
      </c>
      <c r="F95" s="308">
        <v>194756.26</v>
      </c>
      <c r="G95" s="308"/>
      <c r="H95" s="21">
        <v>2028.15</v>
      </c>
      <c r="I95" s="21">
        <v>80921.14</v>
      </c>
      <c r="J95" s="21">
        <v>129240.1</v>
      </c>
      <c r="K95" s="22" t="s">
        <v>322</v>
      </c>
      <c r="L95" s="23" t="s">
        <v>323</v>
      </c>
      <c r="M95" s="21">
        <v>265472.83</v>
      </c>
      <c r="N95" s="21">
        <v>248332.22</v>
      </c>
      <c r="O95" s="21">
        <v>0</v>
      </c>
      <c r="P95" s="299">
        <v>0</v>
      </c>
      <c r="Q95" s="299"/>
      <c r="R95" s="21">
        <v>513805.05000000005</v>
      </c>
      <c r="S95" s="21">
        <v>-28980.52</v>
      </c>
      <c r="T95" s="21"/>
      <c r="U95" s="82">
        <f t="shared" si="1"/>
        <v>484824.53</v>
      </c>
      <c r="V95" s="302"/>
    </row>
    <row r="96" spans="1:22" s="25" customFormat="1" ht="9" customHeight="1">
      <c r="A96" s="295"/>
      <c r="B96" s="82">
        <f t="shared" si="0"/>
        <v>577790.99000000011</v>
      </c>
      <c r="C96" s="21"/>
      <c r="D96" s="124">
        <v>-3581.82</v>
      </c>
      <c r="E96" s="21">
        <v>581372.81000000006</v>
      </c>
      <c r="F96" s="308">
        <v>-41372.269999999997</v>
      </c>
      <c r="G96" s="308"/>
      <c r="H96" s="21">
        <v>9821.24</v>
      </c>
      <c r="I96" s="21">
        <v>504171.46</v>
      </c>
      <c r="J96" s="21">
        <v>108752.38</v>
      </c>
      <c r="K96" s="22" t="s">
        <v>324</v>
      </c>
      <c r="L96" s="23" t="s">
        <v>325</v>
      </c>
      <c r="M96" s="21">
        <v>0</v>
      </c>
      <c r="N96" s="21">
        <v>535451.79</v>
      </c>
      <c r="O96" s="21">
        <v>0</v>
      </c>
      <c r="P96" s="299">
        <v>0</v>
      </c>
      <c r="Q96" s="299"/>
      <c r="R96" s="21">
        <v>535451.79</v>
      </c>
      <c r="S96" s="21">
        <v>42339.199999999997</v>
      </c>
      <c r="T96" s="21"/>
      <c r="U96" s="82">
        <f t="shared" si="1"/>
        <v>577790.99</v>
      </c>
      <c r="V96" s="302"/>
    </row>
    <row r="97" spans="1:29" s="25" customFormat="1" ht="9" customHeight="1">
      <c r="A97" s="295"/>
      <c r="B97" s="82">
        <f t="shared" si="0"/>
        <v>114318.55000000002</v>
      </c>
      <c r="C97" s="21"/>
      <c r="D97" s="124">
        <v>-151.66999999999999</v>
      </c>
      <c r="E97" s="21">
        <v>114470.22000000002</v>
      </c>
      <c r="F97" s="309">
        <v>108155.73000000001</v>
      </c>
      <c r="G97" s="309"/>
      <c r="H97" s="21">
        <v>0</v>
      </c>
      <c r="I97" s="21">
        <v>4544.79</v>
      </c>
      <c r="J97" s="21">
        <v>1769.7</v>
      </c>
      <c r="K97" s="22" t="s">
        <v>326</v>
      </c>
      <c r="L97" s="23" t="s">
        <v>402</v>
      </c>
      <c r="M97" s="21">
        <v>0</v>
      </c>
      <c r="N97" s="21">
        <v>114746.72</v>
      </c>
      <c r="O97" s="21">
        <v>0</v>
      </c>
      <c r="P97" s="299">
        <v>0</v>
      </c>
      <c r="Q97" s="299"/>
      <c r="R97" s="21">
        <v>114746.72</v>
      </c>
      <c r="S97" s="21">
        <v>-428.17</v>
      </c>
      <c r="T97" s="21"/>
      <c r="U97" s="82">
        <f t="shared" si="1"/>
        <v>114318.55</v>
      </c>
      <c r="V97" s="302"/>
    </row>
    <row r="98" spans="1:29" s="25" customFormat="1" ht="9" customHeight="1">
      <c r="A98" s="295"/>
      <c r="B98" s="82">
        <f t="shared" si="0"/>
        <v>19069.72</v>
      </c>
      <c r="C98" s="21"/>
      <c r="D98" s="124">
        <v>-151.66999999999999</v>
      </c>
      <c r="E98" s="21">
        <v>19221.39</v>
      </c>
      <c r="F98" s="308">
        <v>12906.9</v>
      </c>
      <c r="G98" s="308"/>
      <c r="H98" s="21">
        <v>0</v>
      </c>
      <c r="I98" s="21">
        <v>4544.79</v>
      </c>
      <c r="J98" s="21">
        <v>1769.7</v>
      </c>
      <c r="K98" s="22" t="s">
        <v>327</v>
      </c>
      <c r="L98" s="23" t="s">
        <v>328</v>
      </c>
      <c r="M98" s="21">
        <v>0</v>
      </c>
      <c r="N98" s="21">
        <v>19497.89</v>
      </c>
      <c r="O98" s="21">
        <v>0</v>
      </c>
      <c r="P98" s="299">
        <v>0</v>
      </c>
      <c r="Q98" s="299"/>
      <c r="R98" s="21">
        <v>19497.89</v>
      </c>
      <c r="S98" s="21">
        <v>-428.17</v>
      </c>
      <c r="T98" s="21"/>
      <c r="U98" s="82">
        <f t="shared" si="1"/>
        <v>19069.72</v>
      </c>
      <c r="V98" s="302"/>
    </row>
    <row r="99" spans="1:29" s="25" customFormat="1" ht="9" customHeight="1">
      <c r="A99" s="295"/>
      <c r="B99" s="82">
        <f t="shared" si="0"/>
        <v>52311.62</v>
      </c>
      <c r="C99" s="21"/>
      <c r="D99" s="124">
        <v>0</v>
      </c>
      <c r="E99" s="21">
        <v>52311.62</v>
      </c>
      <c r="F99" s="308">
        <v>52311.62</v>
      </c>
      <c r="G99" s="308"/>
      <c r="H99" s="21">
        <v>0</v>
      </c>
      <c r="I99" s="21">
        <v>0</v>
      </c>
      <c r="J99" s="21">
        <v>0</v>
      </c>
      <c r="K99" s="22" t="s">
        <v>329</v>
      </c>
      <c r="L99" s="23" t="s">
        <v>330</v>
      </c>
      <c r="M99" s="21">
        <v>0</v>
      </c>
      <c r="N99" s="21">
        <v>52311.62</v>
      </c>
      <c r="O99" s="21">
        <v>0</v>
      </c>
      <c r="P99" s="299">
        <v>0</v>
      </c>
      <c r="Q99" s="299"/>
      <c r="R99" s="21">
        <v>52311.62</v>
      </c>
      <c r="S99" s="21">
        <v>0</v>
      </c>
      <c r="T99" s="21"/>
      <c r="U99" s="82">
        <f t="shared" si="1"/>
        <v>52311.62</v>
      </c>
      <c r="V99" s="302"/>
    </row>
    <row r="100" spans="1:29" s="25" customFormat="1" ht="9" customHeight="1">
      <c r="A100" s="295"/>
      <c r="B100" s="82">
        <f t="shared" si="0"/>
        <v>42937.21</v>
      </c>
      <c r="C100" s="21"/>
      <c r="D100" s="124">
        <v>0</v>
      </c>
      <c r="E100" s="21">
        <v>42937.21</v>
      </c>
      <c r="F100" s="308">
        <v>42937.21</v>
      </c>
      <c r="G100" s="308"/>
      <c r="H100" s="21">
        <v>0</v>
      </c>
      <c r="I100" s="21">
        <v>0</v>
      </c>
      <c r="J100" s="21">
        <v>0</v>
      </c>
      <c r="K100" s="22" t="s">
        <v>331</v>
      </c>
      <c r="L100" s="23" t="s">
        <v>332</v>
      </c>
      <c r="M100" s="21">
        <v>0</v>
      </c>
      <c r="N100" s="21">
        <v>42937.21</v>
      </c>
      <c r="O100" s="21">
        <v>0</v>
      </c>
      <c r="P100" s="299">
        <v>0</v>
      </c>
      <c r="Q100" s="299"/>
      <c r="R100" s="21">
        <v>42937.21</v>
      </c>
      <c r="S100" s="21">
        <v>0</v>
      </c>
      <c r="T100" s="21"/>
      <c r="U100" s="82">
        <f t="shared" si="1"/>
        <v>42937.21</v>
      </c>
      <c r="V100" s="302"/>
    </row>
    <row r="101" spans="1:29" s="25" customFormat="1" ht="9" customHeight="1">
      <c r="A101" s="295"/>
      <c r="B101" s="82">
        <f t="shared" si="0"/>
        <v>-145295.06</v>
      </c>
      <c r="C101" s="21"/>
      <c r="D101" s="124">
        <v>-145607.43</v>
      </c>
      <c r="E101" s="21">
        <v>312.36999999999796</v>
      </c>
      <c r="F101" s="308">
        <v>691.63</v>
      </c>
      <c r="G101" s="308"/>
      <c r="H101" s="21">
        <v>0</v>
      </c>
      <c r="I101" s="21">
        <v>-29643.49</v>
      </c>
      <c r="J101" s="21">
        <v>29264.23</v>
      </c>
      <c r="K101" s="22" t="s">
        <v>333</v>
      </c>
      <c r="L101" s="23" t="s">
        <v>334</v>
      </c>
      <c r="M101" s="21">
        <v>26134.95</v>
      </c>
      <c r="N101" s="21">
        <v>-52438.49</v>
      </c>
      <c r="O101" s="21">
        <v>0</v>
      </c>
      <c r="P101" s="299">
        <v>464.21</v>
      </c>
      <c r="Q101" s="299"/>
      <c r="R101" s="21">
        <v>-25839.329999999998</v>
      </c>
      <c r="S101" s="21">
        <v>-119455.72</v>
      </c>
      <c r="T101" s="21"/>
      <c r="U101" s="82">
        <f t="shared" si="1"/>
        <v>-145295.04999999999</v>
      </c>
      <c r="V101" s="302"/>
    </row>
    <row r="102" spans="1:29" s="25" customFormat="1" ht="9" customHeight="1">
      <c r="A102" s="295"/>
      <c r="B102" s="82">
        <f t="shared" si="0"/>
        <v>-55941.02</v>
      </c>
      <c r="C102" s="21"/>
      <c r="D102" s="124">
        <v>-25640.68</v>
      </c>
      <c r="E102" s="21">
        <v>-30300.339999999997</v>
      </c>
      <c r="F102" s="308">
        <v>-78383.14</v>
      </c>
      <c r="G102" s="308"/>
      <c r="H102" s="21">
        <v>4696.1499999999996</v>
      </c>
      <c r="I102" s="21">
        <v>-12378.07</v>
      </c>
      <c r="J102" s="21">
        <v>55764.72</v>
      </c>
      <c r="K102" s="22" t="s">
        <v>335</v>
      </c>
      <c r="L102" s="23" t="s">
        <v>336</v>
      </c>
      <c r="M102" s="21">
        <v>85457.040000000008</v>
      </c>
      <c r="N102" s="21">
        <v>93466.14</v>
      </c>
      <c r="O102" s="21">
        <v>-143083.66</v>
      </c>
      <c r="P102" s="299">
        <v>10329.27</v>
      </c>
      <c r="Q102" s="299"/>
      <c r="R102" s="21">
        <v>46168.789999999994</v>
      </c>
      <c r="S102" s="21">
        <v>-102109.82999999999</v>
      </c>
      <c r="T102" s="21"/>
      <c r="U102" s="82">
        <f t="shared" si="1"/>
        <v>-55941.039999999994</v>
      </c>
      <c r="V102" s="302"/>
    </row>
    <row r="103" spans="1:29" s="25" customFormat="1" ht="9" customHeight="1">
      <c r="A103" s="295"/>
      <c r="B103" s="82">
        <f t="shared" si="0"/>
        <v>40853.230000000003</v>
      </c>
      <c r="C103" s="21"/>
      <c r="D103" s="124">
        <v>-25640.68</v>
      </c>
      <c r="E103" s="21">
        <v>66493.91</v>
      </c>
      <c r="F103" s="308">
        <v>160.58000000000001</v>
      </c>
      <c r="G103" s="308"/>
      <c r="H103" s="21">
        <v>0</v>
      </c>
      <c r="I103" s="21">
        <v>34757.410000000003</v>
      </c>
      <c r="J103" s="21">
        <v>31575.919999999998</v>
      </c>
      <c r="K103" s="22" t="s">
        <v>337</v>
      </c>
      <c r="L103" s="23" t="s">
        <v>338</v>
      </c>
      <c r="M103" s="21">
        <v>9327.68</v>
      </c>
      <c r="N103" s="21">
        <v>31515.87</v>
      </c>
      <c r="O103" s="21">
        <v>0</v>
      </c>
      <c r="P103" s="299">
        <v>1213.07</v>
      </c>
      <c r="Q103" s="299"/>
      <c r="R103" s="21">
        <v>42056.62</v>
      </c>
      <c r="S103" s="21">
        <v>-1203.4000000000001</v>
      </c>
      <c r="T103" s="21"/>
      <c r="U103" s="82">
        <f t="shared" si="1"/>
        <v>40853.22</v>
      </c>
      <c r="V103" s="302"/>
    </row>
    <row r="104" spans="1:29" s="25" customFormat="1" ht="9" customHeight="1">
      <c r="A104" s="295"/>
      <c r="B104" s="82">
        <f t="shared" si="0"/>
        <v>-96794.25</v>
      </c>
      <c r="C104" s="21"/>
      <c r="D104" s="21">
        <v>0</v>
      </c>
      <c r="E104" s="21">
        <v>-96794.25</v>
      </c>
      <c r="F104" s="308">
        <v>-78543.72</v>
      </c>
      <c r="G104" s="308"/>
      <c r="H104" s="21">
        <v>4696.1499999999996</v>
      </c>
      <c r="I104" s="21">
        <v>-47135.48</v>
      </c>
      <c r="J104" s="21">
        <v>24188.799999999999</v>
      </c>
      <c r="K104" s="22" t="s">
        <v>339</v>
      </c>
      <c r="L104" s="23" t="s">
        <v>340</v>
      </c>
      <c r="M104" s="21">
        <v>76129.36</v>
      </c>
      <c r="N104" s="21">
        <v>61950.27</v>
      </c>
      <c r="O104" s="21">
        <v>-143083.66</v>
      </c>
      <c r="P104" s="299">
        <v>9116.2000000000007</v>
      </c>
      <c r="Q104" s="299"/>
      <c r="R104" s="21">
        <v>4112.1700000000019</v>
      </c>
      <c r="S104" s="21">
        <v>-100906.43</v>
      </c>
      <c r="T104" s="21"/>
      <c r="U104" s="82">
        <f t="shared" si="1"/>
        <v>-96794.26</v>
      </c>
      <c r="V104" s="302"/>
    </row>
    <row r="105" spans="1:29" s="25" customFormat="1" ht="9" customHeight="1" thickBot="1">
      <c r="A105" s="296"/>
      <c r="B105" s="120">
        <f>ROUND(E105+D105,0)</f>
        <v>0</v>
      </c>
      <c r="C105" s="63"/>
      <c r="D105" s="63">
        <v>80537.989999999991</v>
      </c>
      <c r="E105" s="63">
        <v>-80537.990000000224</v>
      </c>
      <c r="F105" s="304">
        <v>562272</v>
      </c>
      <c r="G105" s="304"/>
      <c r="H105" s="63">
        <v>-918008.99999999988</v>
      </c>
      <c r="I105" s="63">
        <v>216916.98999999976</v>
      </c>
      <c r="J105" s="63">
        <v>58282.020000000135</v>
      </c>
      <c r="K105" s="48" t="s">
        <v>278</v>
      </c>
      <c r="L105" s="49" t="s">
        <v>189</v>
      </c>
      <c r="M105" s="63"/>
      <c r="N105" s="63"/>
      <c r="O105" s="63"/>
      <c r="P105" s="300"/>
      <c r="Q105" s="300"/>
      <c r="R105" s="63"/>
      <c r="S105" s="69"/>
      <c r="T105" s="63"/>
      <c r="U105" s="69"/>
      <c r="V105" s="303"/>
    </row>
    <row r="106" spans="1:29" ht="9.75" customHeight="1" thickTop="1">
      <c r="A106" s="41"/>
      <c r="B106" s="12"/>
      <c r="C106" s="13"/>
      <c r="D106" s="13"/>
      <c r="E106" s="13"/>
      <c r="F106" s="125"/>
      <c r="G106" s="125"/>
      <c r="H106" s="13"/>
      <c r="I106" s="13"/>
      <c r="J106" s="13"/>
      <c r="K106" s="77"/>
      <c r="L106" s="77"/>
      <c r="M106" s="55"/>
      <c r="N106" s="13"/>
      <c r="O106" s="13"/>
      <c r="P106" s="125"/>
      <c r="Q106" s="125"/>
      <c r="R106" s="13"/>
      <c r="S106" s="13"/>
      <c r="T106" s="13"/>
      <c r="U106" s="12"/>
      <c r="V106" s="14"/>
      <c r="W106" s="25"/>
      <c r="X106" s="25"/>
      <c r="Y106" s="25"/>
      <c r="Z106" s="25"/>
      <c r="AA106" s="25"/>
      <c r="AB106" s="25"/>
      <c r="AC106" s="25"/>
    </row>
    <row r="107" spans="1:29" ht="9.75" customHeight="1" thickBot="1">
      <c r="A107" s="44" t="s">
        <v>341</v>
      </c>
      <c r="B107" s="26"/>
      <c r="C107" s="39"/>
      <c r="D107" s="26"/>
      <c r="E107" s="26"/>
      <c r="F107" s="126"/>
      <c r="G107" s="126"/>
      <c r="H107" s="26"/>
      <c r="I107" s="26"/>
      <c r="J107" s="26"/>
      <c r="K107" s="34"/>
      <c r="L107" s="40"/>
      <c r="M107" s="58" t="s">
        <v>342</v>
      </c>
      <c r="N107" s="26"/>
      <c r="O107" s="26"/>
      <c r="P107" s="126"/>
      <c r="Q107" s="126"/>
      <c r="R107" s="26"/>
      <c r="S107" s="26"/>
      <c r="T107" s="26"/>
      <c r="U107" s="26"/>
      <c r="V107" s="17"/>
      <c r="W107" s="25"/>
      <c r="X107" s="25"/>
      <c r="Y107" s="25"/>
      <c r="Z107" s="25"/>
      <c r="AA107" s="25"/>
      <c r="AB107" s="25"/>
      <c r="AC107" s="25"/>
    </row>
    <row r="108" spans="1:29" s="25" customFormat="1" ht="9" customHeight="1" thickTop="1">
      <c r="A108" s="294" t="s">
        <v>405</v>
      </c>
      <c r="B108" s="81">
        <f>E108+D108</f>
        <v>55112252</v>
      </c>
      <c r="C108" s="59"/>
      <c r="D108" s="59">
        <v>6790635</v>
      </c>
      <c r="E108" s="59">
        <v>48321617</v>
      </c>
      <c r="F108" s="297">
        <v>9047556</v>
      </c>
      <c r="G108" s="297"/>
      <c r="H108" s="59">
        <v>4196601</v>
      </c>
      <c r="I108" s="59">
        <v>28360626</v>
      </c>
      <c r="J108" s="59">
        <v>6716834</v>
      </c>
      <c r="K108" s="47" t="s">
        <v>343</v>
      </c>
      <c r="L108" s="46" t="s">
        <v>344</v>
      </c>
      <c r="M108" s="59">
        <v>11817901</v>
      </c>
      <c r="N108" s="59">
        <v>29183980</v>
      </c>
      <c r="O108" s="59">
        <v>8128465</v>
      </c>
      <c r="P108" s="298">
        <v>2409987</v>
      </c>
      <c r="Q108" s="298"/>
      <c r="R108" s="59">
        <v>51540333</v>
      </c>
      <c r="S108" s="59">
        <v>3558629</v>
      </c>
      <c r="T108" s="59"/>
      <c r="U108" s="59">
        <f t="shared" ref="U108:U131" si="2">R108+S108</f>
        <v>55098962</v>
      </c>
      <c r="V108" s="301" t="s">
        <v>405</v>
      </c>
    </row>
    <row r="109" spans="1:29" s="25" customFormat="1" ht="9" customHeight="1">
      <c r="A109" s="295"/>
      <c r="B109" s="82">
        <f t="shared" ref="B109:B160" si="3">E109+D109</f>
        <v>45699</v>
      </c>
      <c r="C109" s="21"/>
      <c r="D109" s="21">
        <v>16090</v>
      </c>
      <c r="E109" s="21">
        <v>29609</v>
      </c>
      <c r="F109" s="299">
        <v>0</v>
      </c>
      <c r="G109" s="299"/>
      <c r="H109" s="21">
        <v>0</v>
      </c>
      <c r="I109" s="21">
        <v>29609</v>
      </c>
      <c r="J109" s="21">
        <v>0</v>
      </c>
      <c r="K109" s="22" t="s">
        <v>345</v>
      </c>
      <c r="L109" s="23" t="s">
        <v>298</v>
      </c>
      <c r="M109" s="21">
        <v>0</v>
      </c>
      <c r="N109" s="21">
        <v>16090</v>
      </c>
      <c r="O109" s="21">
        <v>0</v>
      </c>
      <c r="P109" s="299">
        <v>0</v>
      </c>
      <c r="Q109" s="299"/>
      <c r="R109" s="21">
        <v>16090</v>
      </c>
      <c r="S109" s="21">
        <v>16323</v>
      </c>
      <c r="T109" s="21"/>
      <c r="U109" s="82">
        <f t="shared" si="2"/>
        <v>32413</v>
      </c>
      <c r="V109" s="302"/>
    </row>
    <row r="110" spans="1:29" s="25" customFormat="1" ht="9" customHeight="1">
      <c r="A110" s="295"/>
      <c r="B110" s="82">
        <f t="shared" si="3"/>
        <v>4662110</v>
      </c>
      <c r="C110" s="21"/>
      <c r="D110" s="21">
        <v>2319</v>
      </c>
      <c r="E110" s="21">
        <v>4659791</v>
      </c>
      <c r="F110" s="299">
        <v>1792185</v>
      </c>
      <c r="G110" s="299"/>
      <c r="H110" s="21">
        <v>1576769</v>
      </c>
      <c r="I110" s="21">
        <v>912533</v>
      </c>
      <c r="J110" s="21">
        <v>378304</v>
      </c>
      <c r="K110" s="22" t="s">
        <v>346</v>
      </c>
      <c r="L110" s="23" t="s">
        <v>300</v>
      </c>
      <c r="M110" s="21">
        <v>0</v>
      </c>
      <c r="N110" s="21">
        <v>4057241</v>
      </c>
      <c r="O110" s="21">
        <v>443220</v>
      </c>
      <c r="P110" s="299">
        <v>0</v>
      </c>
      <c r="Q110" s="299"/>
      <c r="R110" s="21">
        <v>4500461</v>
      </c>
      <c r="S110" s="21">
        <v>161649</v>
      </c>
      <c r="T110" s="21"/>
      <c r="U110" s="82">
        <f t="shared" si="2"/>
        <v>4662110</v>
      </c>
      <c r="V110" s="302"/>
    </row>
    <row r="111" spans="1:29" s="25" customFormat="1" ht="9" customHeight="1">
      <c r="A111" s="295"/>
      <c r="B111" s="82">
        <f t="shared" si="3"/>
        <v>283050</v>
      </c>
      <c r="C111" s="21"/>
      <c r="D111" s="21">
        <v>0</v>
      </c>
      <c r="E111" s="21">
        <v>283050</v>
      </c>
      <c r="F111" s="299">
        <v>227934</v>
      </c>
      <c r="G111" s="299"/>
      <c r="H111" s="21">
        <v>0</v>
      </c>
      <c r="I111" s="21">
        <v>54945</v>
      </c>
      <c r="J111" s="21">
        <v>171</v>
      </c>
      <c r="K111" s="22" t="s">
        <v>347</v>
      </c>
      <c r="L111" s="23" t="s">
        <v>302</v>
      </c>
      <c r="M111" s="21">
        <v>0</v>
      </c>
      <c r="N111" s="21">
        <v>280685</v>
      </c>
      <c r="O111" s="21">
        <v>0</v>
      </c>
      <c r="P111" s="299">
        <v>0</v>
      </c>
      <c r="Q111" s="299"/>
      <c r="R111" s="21">
        <v>280685</v>
      </c>
      <c r="S111" s="21">
        <v>2365</v>
      </c>
      <c r="T111" s="21"/>
      <c r="U111" s="82">
        <f t="shared" si="2"/>
        <v>283050</v>
      </c>
      <c r="V111" s="302"/>
    </row>
    <row r="112" spans="1:29" s="25" customFormat="1" ht="9" customHeight="1">
      <c r="A112" s="295"/>
      <c r="B112" s="82">
        <f t="shared" si="3"/>
        <v>1696873</v>
      </c>
      <c r="C112" s="21"/>
      <c r="D112" s="21">
        <v>2303</v>
      </c>
      <c r="E112" s="21">
        <v>1694570</v>
      </c>
      <c r="F112" s="299">
        <v>95514</v>
      </c>
      <c r="G112" s="299"/>
      <c r="H112" s="21">
        <v>1486884</v>
      </c>
      <c r="I112" s="21">
        <v>42465</v>
      </c>
      <c r="J112" s="21">
        <v>69707</v>
      </c>
      <c r="K112" s="22" t="s">
        <v>348</v>
      </c>
      <c r="L112" s="23" t="s">
        <v>304</v>
      </c>
      <c r="M112" s="21">
        <v>0</v>
      </c>
      <c r="N112" s="21">
        <v>1666528</v>
      </c>
      <c r="O112" s="21">
        <v>0</v>
      </c>
      <c r="P112" s="299">
        <v>0</v>
      </c>
      <c r="Q112" s="299"/>
      <c r="R112" s="21">
        <v>1666528</v>
      </c>
      <c r="S112" s="21">
        <v>30346</v>
      </c>
      <c r="T112" s="21"/>
      <c r="U112" s="82">
        <f t="shared" si="2"/>
        <v>1696874</v>
      </c>
      <c r="V112" s="302"/>
    </row>
    <row r="113" spans="1:22" s="25" customFormat="1" ht="9" customHeight="1">
      <c r="A113" s="295"/>
      <c r="B113" s="82">
        <f t="shared" si="3"/>
        <v>2682187</v>
      </c>
      <c r="C113" s="21"/>
      <c r="D113" s="21">
        <v>16</v>
      </c>
      <c r="E113" s="21">
        <v>2682171</v>
      </c>
      <c r="F113" s="299">
        <v>1468737</v>
      </c>
      <c r="G113" s="299"/>
      <c r="H113" s="21">
        <v>89885</v>
      </c>
      <c r="I113" s="21">
        <v>815123</v>
      </c>
      <c r="J113" s="21">
        <v>308426</v>
      </c>
      <c r="K113" s="22" t="s">
        <v>349</v>
      </c>
      <c r="L113" s="23" t="s">
        <v>306</v>
      </c>
      <c r="M113" s="21">
        <v>0</v>
      </c>
      <c r="N113" s="21">
        <v>2110028</v>
      </c>
      <c r="O113" s="21">
        <v>443220</v>
      </c>
      <c r="P113" s="299">
        <v>0</v>
      </c>
      <c r="Q113" s="299"/>
      <c r="R113" s="21">
        <v>2553248</v>
      </c>
      <c r="S113" s="21">
        <v>128938</v>
      </c>
      <c r="T113" s="21"/>
      <c r="U113" s="82">
        <f t="shared" si="2"/>
        <v>2682186</v>
      </c>
      <c r="V113" s="302"/>
    </row>
    <row r="114" spans="1:22" s="25" customFormat="1" ht="9" customHeight="1">
      <c r="A114" s="295"/>
      <c r="B114" s="82">
        <f t="shared" si="3"/>
        <v>11159145</v>
      </c>
      <c r="C114" s="21"/>
      <c r="D114" s="21">
        <v>806978</v>
      </c>
      <c r="E114" s="21">
        <v>10352167</v>
      </c>
      <c r="F114" s="306">
        <v>855237</v>
      </c>
      <c r="G114" s="306"/>
      <c r="H114" s="21">
        <v>112465</v>
      </c>
      <c r="I114" s="21">
        <v>8739111</v>
      </c>
      <c r="J114" s="21">
        <v>645354</v>
      </c>
      <c r="K114" s="22" t="s">
        <v>350</v>
      </c>
      <c r="L114" s="23" t="s">
        <v>308</v>
      </c>
      <c r="M114" s="21">
        <v>672520</v>
      </c>
      <c r="N114" s="21">
        <v>2443166</v>
      </c>
      <c r="O114" s="21">
        <v>6665333</v>
      </c>
      <c r="P114" s="299">
        <v>0</v>
      </c>
      <c r="Q114" s="299"/>
      <c r="R114" s="21">
        <v>9781019</v>
      </c>
      <c r="S114" s="21">
        <v>1378125</v>
      </c>
      <c r="T114" s="21"/>
      <c r="U114" s="82">
        <f t="shared" si="2"/>
        <v>11159144</v>
      </c>
      <c r="V114" s="302"/>
    </row>
    <row r="115" spans="1:22" s="25" customFormat="1" ht="9" customHeight="1">
      <c r="A115" s="295"/>
      <c r="B115" s="82">
        <f t="shared" si="3"/>
        <v>1534426</v>
      </c>
      <c r="C115" s="21"/>
      <c r="D115" s="21">
        <v>119469</v>
      </c>
      <c r="E115" s="21">
        <v>1414957</v>
      </c>
      <c r="F115" s="299">
        <v>102473</v>
      </c>
      <c r="G115" s="299"/>
      <c r="H115" s="21">
        <v>14268</v>
      </c>
      <c r="I115" s="21">
        <v>1100457</v>
      </c>
      <c r="J115" s="21">
        <v>197759</v>
      </c>
      <c r="K115" s="22" t="s">
        <v>351</v>
      </c>
      <c r="L115" s="23" t="s">
        <v>310</v>
      </c>
      <c r="M115" s="21">
        <v>11797</v>
      </c>
      <c r="N115" s="21">
        <v>460210</v>
      </c>
      <c r="O115" s="21">
        <v>1044340</v>
      </c>
      <c r="P115" s="299">
        <v>0</v>
      </c>
      <c r="Q115" s="299"/>
      <c r="R115" s="21">
        <v>1516347</v>
      </c>
      <c r="S115" s="21">
        <v>18079</v>
      </c>
      <c r="T115" s="21"/>
      <c r="U115" s="82">
        <f t="shared" si="2"/>
        <v>1534426</v>
      </c>
      <c r="V115" s="302"/>
    </row>
    <row r="116" spans="1:22" s="25" customFormat="1" ht="9" customHeight="1">
      <c r="A116" s="295"/>
      <c r="B116" s="82">
        <f t="shared" si="3"/>
        <v>9624719</v>
      </c>
      <c r="C116" s="21"/>
      <c r="D116" s="21">
        <v>687509</v>
      </c>
      <c r="E116" s="21">
        <v>8937210</v>
      </c>
      <c r="F116" s="299">
        <v>752764</v>
      </c>
      <c r="G116" s="299"/>
      <c r="H116" s="21">
        <v>98197</v>
      </c>
      <c r="I116" s="21">
        <v>7638654</v>
      </c>
      <c r="J116" s="21">
        <v>447595</v>
      </c>
      <c r="K116" s="22" t="s">
        <v>352</v>
      </c>
      <c r="L116" s="23" t="s">
        <v>312</v>
      </c>
      <c r="M116" s="21">
        <v>660723</v>
      </c>
      <c r="N116" s="21">
        <v>1982956</v>
      </c>
      <c r="O116" s="21">
        <v>5620993</v>
      </c>
      <c r="P116" s="299">
        <v>0</v>
      </c>
      <c r="Q116" s="299"/>
      <c r="R116" s="21">
        <v>8264672</v>
      </c>
      <c r="S116" s="21">
        <v>1360046</v>
      </c>
      <c r="T116" s="21"/>
      <c r="U116" s="82">
        <f t="shared" si="2"/>
        <v>9624718</v>
      </c>
      <c r="V116" s="302"/>
    </row>
    <row r="117" spans="1:22" s="25" customFormat="1" ht="9" customHeight="1">
      <c r="A117" s="295"/>
      <c r="B117" s="82">
        <f t="shared" si="3"/>
        <v>9595462</v>
      </c>
      <c r="C117" s="21"/>
      <c r="D117" s="21">
        <v>1352369</v>
      </c>
      <c r="E117" s="21">
        <v>8243093</v>
      </c>
      <c r="F117" s="306">
        <v>10581</v>
      </c>
      <c r="G117" s="306"/>
      <c r="H117" s="21">
        <v>1700645</v>
      </c>
      <c r="I117" s="21">
        <v>6190849</v>
      </c>
      <c r="J117" s="21">
        <v>341018</v>
      </c>
      <c r="K117" s="22" t="s">
        <v>353</v>
      </c>
      <c r="L117" s="23" t="s">
        <v>314</v>
      </c>
      <c r="M117" s="21">
        <v>2228168</v>
      </c>
      <c r="N117" s="21">
        <v>3897485</v>
      </c>
      <c r="O117" s="21">
        <v>978251</v>
      </c>
      <c r="P117" s="306">
        <v>2373288</v>
      </c>
      <c r="Q117" s="306"/>
      <c r="R117" s="21">
        <v>9477192</v>
      </c>
      <c r="S117" s="21">
        <v>118268</v>
      </c>
      <c r="T117" s="21"/>
      <c r="U117" s="82">
        <f t="shared" si="2"/>
        <v>9595460</v>
      </c>
      <c r="V117" s="302"/>
    </row>
    <row r="118" spans="1:22" s="25" customFormat="1" ht="9" customHeight="1">
      <c r="A118" s="295"/>
      <c r="B118" s="82">
        <f t="shared" si="3"/>
        <v>3204862</v>
      </c>
      <c r="C118" s="21"/>
      <c r="D118" s="21">
        <v>468379</v>
      </c>
      <c r="E118" s="21">
        <v>2736483</v>
      </c>
      <c r="F118" s="299">
        <v>485</v>
      </c>
      <c r="G118" s="299"/>
      <c r="H118" s="21">
        <v>31810</v>
      </c>
      <c r="I118" s="21">
        <v>2670559</v>
      </c>
      <c r="J118" s="21">
        <v>33629</v>
      </c>
      <c r="K118" s="22" t="s">
        <v>354</v>
      </c>
      <c r="L118" s="23" t="s">
        <v>310</v>
      </c>
      <c r="M118" s="21">
        <v>464832</v>
      </c>
      <c r="N118" s="21">
        <v>2494611</v>
      </c>
      <c r="O118" s="21">
        <v>39885</v>
      </c>
      <c r="P118" s="299">
        <v>196467</v>
      </c>
      <c r="Q118" s="299"/>
      <c r="R118" s="21">
        <v>3195795</v>
      </c>
      <c r="S118" s="21">
        <v>9066</v>
      </c>
      <c r="T118" s="21"/>
      <c r="U118" s="82">
        <f t="shared" si="2"/>
        <v>3204861</v>
      </c>
      <c r="V118" s="302"/>
    </row>
    <row r="119" spans="1:22" s="25" customFormat="1" ht="9" customHeight="1">
      <c r="A119" s="295"/>
      <c r="B119" s="82">
        <f t="shared" si="3"/>
        <v>6390600</v>
      </c>
      <c r="C119" s="21"/>
      <c r="D119" s="21">
        <v>883990</v>
      </c>
      <c r="E119" s="21">
        <v>5506610</v>
      </c>
      <c r="F119" s="299">
        <v>10096</v>
      </c>
      <c r="G119" s="299"/>
      <c r="H119" s="21">
        <v>1668835</v>
      </c>
      <c r="I119" s="21">
        <v>3520290</v>
      </c>
      <c r="J119" s="21">
        <v>307389</v>
      </c>
      <c r="K119" s="22" t="s">
        <v>355</v>
      </c>
      <c r="L119" s="23" t="s">
        <v>312</v>
      </c>
      <c r="M119" s="21">
        <v>1763336</v>
      </c>
      <c r="N119" s="21">
        <v>1402874</v>
      </c>
      <c r="O119" s="21">
        <v>938366</v>
      </c>
      <c r="P119" s="299">
        <v>2176821</v>
      </c>
      <c r="Q119" s="299"/>
      <c r="R119" s="21">
        <v>6281397</v>
      </c>
      <c r="S119" s="21">
        <v>109202</v>
      </c>
      <c r="T119" s="21"/>
      <c r="U119" s="82">
        <f t="shared" si="2"/>
        <v>6390599</v>
      </c>
      <c r="V119" s="302"/>
    </row>
    <row r="120" spans="1:22" s="25" customFormat="1" ht="9" customHeight="1">
      <c r="A120" s="295"/>
      <c r="B120" s="82">
        <f t="shared" si="3"/>
        <v>24843791</v>
      </c>
      <c r="C120" s="21"/>
      <c r="D120" s="21">
        <v>4042053</v>
      </c>
      <c r="E120" s="21">
        <v>20801738</v>
      </c>
      <c r="F120" s="299">
        <v>4290789</v>
      </c>
      <c r="G120" s="299"/>
      <c r="H120" s="21">
        <v>802684</v>
      </c>
      <c r="I120" s="21">
        <v>11207969</v>
      </c>
      <c r="J120" s="21">
        <v>4500296</v>
      </c>
      <c r="K120" s="22" t="s">
        <v>356</v>
      </c>
      <c r="L120" s="23" t="s">
        <v>318</v>
      </c>
      <c r="M120" s="21">
        <v>7955427</v>
      </c>
      <c r="N120" s="21">
        <v>15197659</v>
      </c>
      <c r="O120" s="21">
        <v>0</v>
      </c>
      <c r="P120" s="299">
        <v>0</v>
      </c>
      <c r="Q120" s="299"/>
      <c r="R120" s="21">
        <v>23153086</v>
      </c>
      <c r="S120" s="21">
        <v>1690705</v>
      </c>
      <c r="T120" s="21"/>
      <c r="U120" s="82">
        <f t="shared" si="2"/>
        <v>24843791</v>
      </c>
      <c r="V120" s="302"/>
    </row>
    <row r="121" spans="1:22" s="25" customFormat="1" ht="9" customHeight="1">
      <c r="A121" s="295"/>
      <c r="B121" s="82">
        <f t="shared" si="3"/>
        <v>15991187</v>
      </c>
      <c r="C121" s="21"/>
      <c r="D121" s="21">
        <v>3735148</v>
      </c>
      <c r="E121" s="21">
        <v>12256039</v>
      </c>
      <c r="F121" s="299">
        <v>2845937</v>
      </c>
      <c r="G121" s="299"/>
      <c r="H121" s="21">
        <v>713461</v>
      </c>
      <c r="I121" s="21">
        <v>5442652</v>
      </c>
      <c r="J121" s="21">
        <v>3253989</v>
      </c>
      <c r="K121" s="22" t="s">
        <v>357</v>
      </c>
      <c r="L121" s="23" t="s">
        <v>409</v>
      </c>
      <c r="M121" s="21">
        <v>7955427</v>
      </c>
      <c r="N121" s="21">
        <v>6579916</v>
      </c>
      <c r="O121" s="21">
        <v>0</v>
      </c>
      <c r="P121" s="299">
        <v>0</v>
      </c>
      <c r="Q121" s="299"/>
      <c r="R121" s="21">
        <v>14535343</v>
      </c>
      <c r="S121" s="21">
        <v>1455844</v>
      </c>
      <c r="T121" s="21"/>
      <c r="U121" s="82">
        <f t="shared" si="2"/>
        <v>15991187</v>
      </c>
      <c r="V121" s="302"/>
    </row>
    <row r="122" spans="1:22" s="25" customFormat="1" ht="9" customHeight="1">
      <c r="A122" s="295"/>
      <c r="B122" s="82">
        <f t="shared" si="3"/>
        <v>4782948</v>
      </c>
      <c r="C122" s="21"/>
      <c r="D122" s="21">
        <v>2063684</v>
      </c>
      <c r="E122" s="21">
        <v>2719264</v>
      </c>
      <c r="F122" s="299">
        <v>291325</v>
      </c>
      <c r="G122" s="299"/>
      <c r="H122" s="21">
        <v>275765</v>
      </c>
      <c r="I122" s="21">
        <v>1531600</v>
      </c>
      <c r="J122" s="21">
        <v>620574</v>
      </c>
      <c r="K122" s="22" t="s">
        <v>358</v>
      </c>
      <c r="L122" s="23" t="s">
        <v>321</v>
      </c>
      <c r="M122" s="21">
        <v>2442872</v>
      </c>
      <c r="N122" s="21">
        <v>2292336</v>
      </c>
      <c r="O122" s="21">
        <v>0</v>
      </c>
      <c r="P122" s="299">
        <v>0</v>
      </c>
      <c r="Q122" s="299"/>
      <c r="R122" s="21">
        <v>4735208</v>
      </c>
      <c r="S122" s="21">
        <v>47740</v>
      </c>
      <c r="T122" s="21"/>
      <c r="U122" s="82">
        <f t="shared" si="2"/>
        <v>4782948</v>
      </c>
      <c r="V122" s="302"/>
    </row>
    <row r="123" spans="1:22" s="25" customFormat="1" ht="9" customHeight="1">
      <c r="A123" s="295"/>
      <c r="B123" s="82">
        <f t="shared" si="3"/>
        <v>11208239</v>
      </c>
      <c r="C123" s="21"/>
      <c r="D123" s="21">
        <v>1671464</v>
      </c>
      <c r="E123" s="21">
        <v>9536775</v>
      </c>
      <c r="F123" s="299">
        <v>2554612</v>
      </c>
      <c r="G123" s="299"/>
      <c r="H123" s="21">
        <v>437696</v>
      </c>
      <c r="I123" s="21">
        <v>3911052</v>
      </c>
      <c r="J123" s="21">
        <v>2633415</v>
      </c>
      <c r="K123" s="22" t="s">
        <v>359</v>
      </c>
      <c r="L123" s="23" t="s">
        <v>323</v>
      </c>
      <c r="M123" s="21">
        <v>5512555</v>
      </c>
      <c r="N123" s="21">
        <v>4287580</v>
      </c>
      <c r="O123" s="21">
        <v>0</v>
      </c>
      <c r="P123" s="299">
        <v>0</v>
      </c>
      <c r="Q123" s="299"/>
      <c r="R123" s="21">
        <v>9800135</v>
      </c>
      <c r="S123" s="21">
        <v>1408104</v>
      </c>
      <c r="T123" s="21"/>
      <c r="U123" s="82">
        <f t="shared" si="2"/>
        <v>11208239</v>
      </c>
      <c r="V123" s="302"/>
    </row>
    <row r="124" spans="1:22" s="25" customFormat="1" ht="9" customHeight="1">
      <c r="A124" s="295"/>
      <c r="B124" s="82">
        <f t="shared" si="3"/>
        <v>8852604</v>
      </c>
      <c r="C124" s="21"/>
      <c r="D124" s="21">
        <v>306905</v>
      </c>
      <c r="E124" s="21">
        <v>8545699</v>
      </c>
      <c r="F124" s="299">
        <v>1444852</v>
      </c>
      <c r="G124" s="299"/>
      <c r="H124" s="21">
        <v>89223</v>
      </c>
      <c r="I124" s="21">
        <v>5765317</v>
      </c>
      <c r="J124" s="21">
        <v>1246307</v>
      </c>
      <c r="K124" s="22" t="s">
        <v>360</v>
      </c>
      <c r="L124" s="23" t="s">
        <v>325</v>
      </c>
      <c r="M124" s="21">
        <v>0</v>
      </c>
      <c r="N124" s="21">
        <v>8617743</v>
      </c>
      <c r="O124" s="21">
        <v>0</v>
      </c>
      <c r="P124" s="299">
        <v>0</v>
      </c>
      <c r="Q124" s="299"/>
      <c r="R124" s="21">
        <v>8617743</v>
      </c>
      <c r="S124" s="21">
        <v>234861</v>
      </c>
      <c r="T124" s="21"/>
      <c r="U124" s="82">
        <f t="shared" si="2"/>
        <v>8852604</v>
      </c>
      <c r="V124" s="302"/>
    </row>
    <row r="125" spans="1:22" s="25" customFormat="1" ht="9" customHeight="1">
      <c r="A125" s="295"/>
      <c r="B125" s="82">
        <f t="shared" si="3"/>
        <v>2044095</v>
      </c>
      <c r="C125" s="21"/>
      <c r="D125" s="21">
        <v>0</v>
      </c>
      <c r="E125" s="21">
        <v>2044095</v>
      </c>
      <c r="F125" s="299">
        <v>2000046</v>
      </c>
      <c r="G125" s="299"/>
      <c r="H125" s="21">
        <v>0</v>
      </c>
      <c r="I125" s="21">
        <v>21847</v>
      </c>
      <c r="J125" s="21">
        <v>22202</v>
      </c>
      <c r="K125" s="22" t="s">
        <v>361</v>
      </c>
      <c r="L125" s="23" t="s">
        <v>402</v>
      </c>
      <c r="M125" s="21">
        <v>0</v>
      </c>
      <c r="N125" s="21">
        <v>2044095</v>
      </c>
      <c r="O125" s="21">
        <v>0</v>
      </c>
      <c r="P125" s="299">
        <v>0</v>
      </c>
      <c r="Q125" s="299"/>
      <c r="R125" s="21">
        <v>2044095</v>
      </c>
      <c r="S125" s="21">
        <v>0</v>
      </c>
      <c r="T125" s="21"/>
      <c r="U125" s="82">
        <f t="shared" si="2"/>
        <v>2044095</v>
      </c>
      <c r="V125" s="302"/>
    </row>
    <row r="126" spans="1:22" s="25" customFormat="1" ht="9" customHeight="1">
      <c r="A126" s="295"/>
      <c r="B126" s="82">
        <f t="shared" si="3"/>
        <v>177759</v>
      </c>
      <c r="C126" s="21"/>
      <c r="D126" s="21">
        <v>0</v>
      </c>
      <c r="E126" s="21">
        <v>177759</v>
      </c>
      <c r="F126" s="299">
        <v>133710</v>
      </c>
      <c r="G126" s="299"/>
      <c r="H126" s="21">
        <v>0</v>
      </c>
      <c r="I126" s="21">
        <v>21847</v>
      </c>
      <c r="J126" s="21">
        <v>22202</v>
      </c>
      <c r="K126" s="22" t="s">
        <v>362</v>
      </c>
      <c r="L126" s="23" t="s">
        <v>328</v>
      </c>
      <c r="M126" s="21">
        <v>0</v>
      </c>
      <c r="N126" s="21">
        <v>177759</v>
      </c>
      <c r="O126" s="21">
        <v>0</v>
      </c>
      <c r="P126" s="299">
        <v>0</v>
      </c>
      <c r="Q126" s="299"/>
      <c r="R126" s="21">
        <v>177759</v>
      </c>
      <c r="S126" s="21">
        <v>0</v>
      </c>
      <c r="T126" s="21"/>
      <c r="U126" s="82">
        <f t="shared" si="2"/>
        <v>177759</v>
      </c>
      <c r="V126" s="302"/>
    </row>
    <row r="127" spans="1:22" s="25" customFormat="1" ht="9" customHeight="1">
      <c r="A127" s="295"/>
      <c r="B127" s="82">
        <f t="shared" si="3"/>
        <v>746024</v>
      </c>
      <c r="C127" s="21"/>
      <c r="D127" s="21">
        <v>0</v>
      </c>
      <c r="E127" s="21">
        <v>746024</v>
      </c>
      <c r="F127" s="299">
        <v>746024</v>
      </c>
      <c r="G127" s="299"/>
      <c r="H127" s="21">
        <v>0</v>
      </c>
      <c r="I127" s="21">
        <v>0</v>
      </c>
      <c r="J127" s="21">
        <v>0</v>
      </c>
      <c r="K127" s="22" t="s">
        <v>363</v>
      </c>
      <c r="L127" s="23" t="s">
        <v>330</v>
      </c>
      <c r="M127" s="21">
        <v>0</v>
      </c>
      <c r="N127" s="21">
        <v>746024</v>
      </c>
      <c r="O127" s="21">
        <v>0</v>
      </c>
      <c r="P127" s="299">
        <v>0</v>
      </c>
      <c r="Q127" s="299"/>
      <c r="R127" s="21">
        <v>746024</v>
      </c>
      <c r="S127" s="21">
        <v>0</v>
      </c>
      <c r="T127" s="21"/>
      <c r="U127" s="82">
        <f t="shared" si="2"/>
        <v>746024</v>
      </c>
      <c r="V127" s="302"/>
    </row>
    <row r="128" spans="1:22" s="25" customFormat="1" ht="9" customHeight="1">
      <c r="A128" s="295"/>
      <c r="B128" s="82">
        <f t="shared" si="3"/>
        <v>1120312</v>
      </c>
      <c r="C128" s="21"/>
      <c r="D128" s="21">
        <v>0</v>
      </c>
      <c r="E128" s="21">
        <v>1120312</v>
      </c>
      <c r="F128" s="299">
        <v>1120312</v>
      </c>
      <c r="G128" s="299"/>
      <c r="H128" s="21">
        <v>0</v>
      </c>
      <c r="I128" s="21">
        <v>0</v>
      </c>
      <c r="J128" s="21">
        <v>0</v>
      </c>
      <c r="K128" s="22" t="s">
        <v>364</v>
      </c>
      <c r="L128" s="23" t="s">
        <v>332</v>
      </c>
      <c r="M128" s="21">
        <v>0</v>
      </c>
      <c r="N128" s="21">
        <v>1120312</v>
      </c>
      <c r="O128" s="21">
        <v>0</v>
      </c>
      <c r="P128" s="299">
        <v>0</v>
      </c>
      <c r="Q128" s="299"/>
      <c r="R128" s="21">
        <v>1120312</v>
      </c>
      <c r="S128" s="21">
        <v>0</v>
      </c>
      <c r="T128" s="21"/>
      <c r="U128" s="82">
        <f t="shared" si="2"/>
        <v>1120312</v>
      </c>
      <c r="V128" s="302"/>
    </row>
    <row r="129" spans="1:29" s="25" customFormat="1" ht="9" customHeight="1">
      <c r="A129" s="295"/>
      <c r="B129" s="82">
        <f t="shared" si="3"/>
        <v>152778</v>
      </c>
      <c r="C129" s="21"/>
      <c r="D129" s="21">
        <v>1008</v>
      </c>
      <c r="E129" s="21">
        <v>151770</v>
      </c>
      <c r="F129" s="299">
        <v>1593</v>
      </c>
      <c r="G129" s="299"/>
      <c r="H129" s="21">
        <v>0</v>
      </c>
      <c r="I129" s="21">
        <v>120807</v>
      </c>
      <c r="J129" s="21">
        <v>29370</v>
      </c>
      <c r="K129" s="22" t="s">
        <v>365</v>
      </c>
      <c r="L129" s="23" t="s">
        <v>334</v>
      </c>
      <c r="M129" s="21">
        <v>15383</v>
      </c>
      <c r="N129" s="21">
        <v>128422</v>
      </c>
      <c r="O129" s="21">
        <v>0</v>
      </c>
      <c r="P129" s="299">
        <v>1936</v>
      </c>
      <c r="Q129" s="299"/>
      <c r="R129" s="21">
        <v>145741</v>
      </c>
      <c r="S129" s="21">
        <v>7036</v>
      </c>
      <c r="T129" s="21"/>
      <c r="U129" s="82">
        <f t="shared" si="2"/>
        <v>152777</v>
      </c>
      <c r="V129" s="302"/>
    </row>
    <row r="130" spans="1:29" s="25" customFormat="1" ht="9" customHeight="1">
      <c r="A130" s="295"/>
      <c r="B130" s="82">
        <f t="shared" si="3"/>
        <v>2609172</v>
      </c>
      <c r="C130" s="21"/>
      <c r="D130" s="21">
        <v>569818</v>
      </c>
      <c r="E130" s="21">
        <v>2039354</v>
      </c>
      <c r="F130" s="299">
        <v>97125</v>
      </c>
      <c r="G130" s="299"/>
      <c r="H130" s="21">
        <v>4038</v>
      </c>
      <c r="I130" s="21">
        <v>1137901</v>
      </c>
      <c r="J130" s="21">
        <v>800290</v>
      </c>
      <c r="K130" s="22" t="s">
        <v>366</v>
      </c>
      <c r="L130" s="23" t="s">
        <v>336</v>
      </c>
      <c r="M130" s="21">
        <v>946403</v>
      </c>
      <c r="N130" s="21">
        <v>1399822</v>
      </c>
      <c r="O130" s="21">
        <v>41661</v>
      </c>
      <c r="P130" s="299">
        <v>34763</v>
      </c>
      <c r="Q130" s="299"/>
      <c r="R130" s="21">
        <v>2422649</v>
      </c>
      <c r="S130" s="21">
        <v>186522</v>
      </c>
      <c r="T130" s="21"/>
      <c r="U130" s="82">
        <f t="shared" si="2"/>
        <v>2609171</v>
      </c>
      <c r="V130" s="302"/>
    </row>
    <row r="131" spans="1:29" s="25" customFormat="1" ht="9" customHeight="1">
      <c r="A131" s="295"/>
      <c r="B131" s="82">
        <f t="shared" si="3"/>
        <v>803307</v>
      </c>
      <c r="C131" s="21"/>
      <c r="D131" s="21">
        <v>569818</v>
      </c>
      <c r="E131" s="21">
        <v>233489</v>
      </c>
      <c r="F131" s="299">
        <v>2302</v>
      </c>
      <c r="G131" s="299"/>
      <c r="H131" s="21">
        <v>0</v>
      </c>
      <c r="I131" s="21">
        <v>64638</v>
      </c>
      <c r="J131" s="21">
        <v>166549</v>
      </c>
      <c r="K131" s="22" t="s">
        <v>367</v>
      </c>
      <c r="L131" s="23" t="s">
        <v>338</v>
      </c>
      <c r="M131" s="21">
        <v>622463</v>
      </c>
      <c r="N131" s="21">
        <v>43567</v>
      </c>
      <c r="O131" s="21">
        <v>0</v>
      </c>
      <c r="P131" s="299">
        <v>998</v>
      </c>
      <c r="Q131" s="299"/>
      <c r="R131" s="21">
        <v>667028</v>
      </c>
      <c r="S131" s="21">
        <v>136279</v>
      </c>
      <c r="T131" s="21"/>
      <c r="U131" s="82">
        <f t="shared" si="2"/>
        <v>803307</v>
      </c>
      <c r="V131" s="302"/>
    </row>
    <row r="132" spans="1:29" s="25" customFormat="1" ht="9" customHeight="1">
      <c r="A132" s="295"/>
      <c r="B132" s="82">
        <f>E132+D132</f>
        <v>1805865</v>
      </c>
      <c r="C132" s="59"/>
      <c r="D132" s="21">
        <v>0</v>
      </c>
      <c r="E132" s="82">
        <v>1805865</v>
      </c>
      <c r="F132" s="357">
        <v>94823</v>
      </c>
      <c r="G132" s="357"/>
      <c r="H132" s="82">
        <v>4038</v>
      </c>
      <c r="I132" s="82">
        <v>1073263</v>
      </c>
      <c r="J132" s="82">
        <v>633741</v>
      </c>
      <c r="K132" s="84" t="s">
        <v>368</v>
      </c>
      <c r="L132" s="85" t="s">
        <v>340</v>
      </c>
      <c r="M132" s="82">
        <v>323940</v>
      </c>
      <c r="N132" s="82">
        <v>1356255</v>
      </c>
      <c r="O132" s="82">
        <v>41661</v>
      </c>
      <c r="P132" s="357">
        <v>33765</v>
      </c>
      <c r="Q132" s="357"/>
      <c r="R132" s="82">
        <v>1755621</v>
      </c>
      <c r="S132" s="21">
        <v>50243</v>
      </c>
      <c r="T132" s="59"/>
      <c r="U132" s="86">
        <f>R132+S132</f>
        <v>1805864</v>
      </c>
      <c r="V132" s="302"/>
    </row>
    <row r="133" spans="1:29" s="25" customFormat="1" ht="9" thickBot="1">
      <c r="A133" s="296"/>
      <c r="B133" s="120">
        <f>ROUND(E133+D133,0)</f>
        <v>13290</v>
      </c>
      <c r="C133" s="120"/>
      <c r="D133" s="120">
        <f>D108-S108</f>
        <v>3232006</v>
      </c>
      <c r="E133" s="120">
        <f>E108-R108</f>
        <v>-3218716</v>
      </c>
      <c r="F133" s="305">
        <f>F108-P108</f>
        <v>6637569</v>
      </c>
      <c r="G133" s="305"/>
      <c r="H133" s="120">
        <f>H108-O108</f>
        <v>-3931864</v>
      </c>
      <c r="I133" s="120">
        <f>I108-N108</f>
        <v>-823354</v>
      </c>
      <c r="J133" s="120">
        <f>J108-M108</f>
        <v>-5101067</v>
      </c>
      <c r="K133" s="48" t="s">
        <v>369</v>
      </c>
      <c r="L133" s="49" t="s">
        <v>370</v>
      </c>
      <c r="M133" s="79"/>
      <c r="N133" s="79"/>
      <c r="O133" s="79"/>
      <c r="P133" s="307"/>
      <c r="Q133" s="307"/>
      <c r="R133" s="79"/>
      <c r="S133" s="80"/>
      <c r="T133" s="63"/>
      <c r="U133" s="80">
        <f>R133+S133</f>
        <v>0</v>
      </c>
      <c r="V133" s="303"/>
    </row>
    <row r="134" spans="1:29" ht="9.75" customHeight="1" thickTop="1">
      <c r="A134" s="41"/>
      <c r="B134" s="12"/>
      <c r="C134" s="13"/>
      <c r="D134" s="13"/>
      <c r="E134" s="13"/>
      <c r="F134" s="125"/>
      <c r="G134" s="125"/>
      <c r="H134" s="13"/>
      <c r="I134" s="13"/>
      <c r="J134" s="13"/>
      <c r="K134" s="77"/>
      <c r="L134" s="77"/>
      <c r="M134" s="55"/>
      <c r="N134" s="13"/>
      <c r="O134" s="13"/>
      <c r="P134" s="125"/>
      <c r="Q134" s="125"/>
      <c r="R134" s="13"/>
      <c r="S134" s="13"/>
      <c r="T134" s="13"/>
      <c r="U134" s="12"/>
      <c r="V134" s="14"/>
      <c r="W134" s="25"/>
      <c r="X134" s="25"/>
      <c r="Y134" s="25"/>
      <c r="Z134" s="25"/>
      <c r="AA134" s="25"/>
      <c r="AB134" s="25"/>
      <c r="AC134" s="25"/>
    </row>
    <row r="135" spans="1:29" ht="9.75" customHeight="1" thickBot="1">
      <c r="A135" s="44" t="s">
        <v>341</v>
      </c>
      <c r="B135" s="26"/>
      <c r="C135" s="39"/>
      <c r="D135" s="26"/>
      <c r="E135" s="26"/>
      <c r="F135" s="126"/>
      <c r="G135" s="126"/>
      <c r="H135" s="26"/>
      <c r="I135" s="26"/>
      <c r="J135" s="26">
        <f>J136-J108</f>
        <v>1268909</v>
      </c>
      <c r="K135" s="34"/>
      <c r="L135" s="40"/>
      <c r="M135" s="58" t="s">
        <v>342</v>
      </c>
      <c r="N135" s="26"/>
      <c r="O135" s="26"/>
      <c r="P135" s="126"/>
      <c r="Q135" s="126"/>
      <c r="R135" s="26"/>
      <c r="S135" s="26"/>
      <c r="T135" s="26"/>
      <c r="U135" s="26"/>
      <c r="V135" s="17"/>
      <c r="W135" s="25"/>
      <c r="X135" s="25"/>
      <c r="Y135" s="25"/>
      <c r="Z135" s="25"/>
      <c r="AA135" s="25"/>
      <c r="AB135" s="25"/>
      <c r="AC135" s="25"/>
    </row>
    <row r="136" spans="1:29" s="25" customFormat="1" ht="9" customHeight="1" thickTop="1">
      <c r="A136" s="294" t="s">
        <v>406</v>
      </c>
      <c r="B136" s="81">
        <f t="shared" si="3"/>
        <v>62814202</v>
      </c>
      <c r="C136" s="59"/>
      <c r="D136" s="59">
        <v>7654081</v>
      </c>
      <c r="E136" s="59">
        <v>55160121</v>
      </c>
      <c r="F136" s="297">
        <v>10589842</v>
      </c>
      <c r="G136" s="297"/>
      <c r="H136" s="59">
        <v>4342065</v>
      </c>
      <c r="I136" s="59">
        <v>32242471</v>
      </c>
      <c r="J136" s="59">
        <v>7985743</v>
      </c>
      <c r="K136" s="47" t="s">
        <v>343</v>
      </c>
      <c r="L136" s="46" t="s">
        <v>344</v>
      </c>
      <c r="M136" s="59">
        <v>13855958</v>
      </c>
      <c r="N136" s="59">
        <v>32714201</v>
      </c>
      <c r="O136" s="59">
        <v>8930455</v>
      </c>
      <c r="P136" s="298">
        <v>2569879</v>
      </c>
      <c r="Q136" s="298"/>
      <c r="R136" s="59">
        <v>58070493</v>
      </c>
      <c r="S136" s="59">
        <v>4722399</v>
      </c>
      <c r="T136" s="59"/>
      <c r="U136" s="60">
        <f>R136+S136</f>
        <v>62792892</v>
      </c>
      <c r="V136" s="301" t="s">
        <v>406</v>
      </c>
    </row>
    <row r="137" spans="1:29" s="25" customFormat="1" ht="9" customHeight="1">
      <c r="A137" s="295"/>
      <c r="B137" s="82">
        <f t="shared" si="3"/>
        <v>64921</v>
      </c>
      <c r="C137" s="21"/>
      <c r="D137" s="21">
        <v>21608</v>
      </c>
      <c r="E137" s="21">
        <v>43313</v>
      </c>
      <c r="F137" s="299">
        <v>0</v>
      </c>
      <c r="G137" s="299"/>
      <c r="H137" s="21">
        <v>0</v>
      </c>
      <c r="I137" s="21">
        <v>43313</v>
      </c>
      <c r="J137" s="21">
        <v>0</v>
      </c>
      <c r="K137" s="22" t="s">
        <v>345</v>
      </c>
      <c r="L137" s="23" t="s">
        <v>298</v>
      </c>
      <c r="M137" s="21">
        <v>0</v>
      </c>
      <c r="N137" s="21">
        <v>21608</v>
      </c>
      <c r="O137" s="21">
        <v>0</v>
      </c>
      <c r="P137" s="299">
        <v>0</v>
      </c>
      <c r="Q137" s="299"/>
      <c r="R137" s="21">
        <v>21608</v>
      </c>
      <c r="S137" s="21">
        <v>22002</v>
      </c>
      <c r="T137" s="21"/>
      <c r="U137" s="82">
        <f>R137+S137</f>
        <v>43610</v>
      </c>
      <c r="V137" s="302"/>
    </row>
    <row r="138" spans="1:29" s="25" customFormat="1" ht="9" customHeight="1">
      <c r="A138" s="295"/>
      <c r="B138" s="82">
        <f t="shared" si="3"/>
        <v>5333531</v>
      </c>
      <c r="C138" s="21"/>
      <c r="D138" s="21">
        <v>2945</v>
      </c>
      <c r="E138" s="21">
        <v>5330586</v>
      </c>
      <c r="F138" s="299">
        <v>2160432</v>
      </c>
      <c r="G138" s="299"/>
      <c r="H138" s="21">
        <v>1587698</v>
      </c>
      <c r="I138" s="21">
        <v>1064569</v>
      </c>
      <c r="J138" s="21">
        <v>517887</v>
      </c>
      <c r="K138" s="22" t="s">
        <v>346</v>
      </c>
      <c r="L138" s="23" t="s">
        <v>300</v>
      </c>
      <c r="M138" s="21">
        <v>0</v>
      </c>
      <c r="N138" s="21">
        <v>4594320</v>
      </c>
      <c r="O138" s="21">
        <v>450123</v>
      </c>
      <c r="P138" s="299">
        <v>0</v>
      </c>
      <c r="Q138" s="299"/>
      <c r="R138" s="21">
        <v>5044443</v>
      </c>
      <c r="S138" s="21">
        <v>289089</v>
      </c>
      <c r="T138" s="21"/>
      <c r="U138" s="82">
        <f t="shared" ref="U138:U160" si="4">R138+S138</f>
        <v>5333532</v>
      </c>
      <c r="V138" s="302"/>
    </row>
    <row r="139" spans="1:29" s="25" customFormat="1" ht="9" customHeight="1">
      <c r="A139" s="295"/>
      <c r="B139" s="82">
        <f t="shared" si="3"/>
        <v>372936</v>
      </c>
      <c r="C139" s="21"/>
      <c r="D139" s="21">
        <v>0</v>
      </c>
      <c r="E139" s="21">
        <v>372936</v>
      </c>
      <c r="F139" s="299">
        <v>308326</v>
      </c>
      <c r="G139" s="299"/>
      <c r="H139" s="21">
        <v>0</v>
      </c>
      <c r="I139" s="21">
        <v>64505</v>
      </c>
      <c r="J139" s="21">
        <v>105</v>
      </c>
      <c r="K139" s="22" t="s">
        <v>347</v>
      </c>
      <c r="L139" s="23" t="s">
        <v>302</v>
      </c>
      <c r="M139" s="21">
        <v>0</v>
      </c>
      <c r="N139" s="21">
        <v>370441</v>
      </c>
      <c r="O139" s="21">
        <v>0</v>
      </c>
      <c r="P139" s="299">
        <v>0</v>
      </c>
      <c r="Q139" s="299"/>
      <c r="R139" s="21">
        <v>370441</v>
      </c>
      <c r="S139" s="21">
        <v>2495</v>
      </c>
      <c r="T139" s="21"/>
      <c r="U139" s="82">
        <f t="shared" si="4"/>
        <v>372936</v>
      </c>
      <c r="V139" s="302"/>
    </row>
    <row r="140" spans="1:29" s="25" customFormat="1" ht="9" customHeight="1">
      <c r="A140" s="295"/>
      <c r="B140" s="82">
        <f t="shared" si="3"/>
        <v>1891606</v>
      </c>
      <c r="C140" s="21"/>
      <c r="D140" s="21">
        <v>2943</v>
      </c>
      <c r="E140" s="21">
        <v>1888663</v>
      </c>
      <c r="F140" s="299">
        <v>140812</v>
      </c>
      <c r="G140" s="299"/>
      <c r="H140" s="21">
        <v>1494529</v>
      </c>
      <c r="I140" s="21">
        <v>112559</v>
      </c>
      <c r="J140" s="21">
        <v>140763</v>
      </c>
      <c r="K140" s="22" t="s">
        <v>348</v>
      </c>
      <c r="L140" s="23" t="s">
        <v>304</v>
      </c>
      <c r="M140" s="21">
        <v>0</v>
      </c>
      <c r="N140" s="21">
        <v>1795091</v>
      </c>
      <c r="O140" s="21">
        <v>0</v>
      </c>
      <c r="P140" s="299">
        <v>0</v>
      </c>
      <c r="Q140" s="299"/>
      <c r="R140" s="21">
        <v>1795091</v>
      </c>
      <c r="S140" s="21">
        <v>96515</v>
      </c>
      <c r="T140" s="21"/>
      <c r="U140" s="82">
        <f t="shared" si="4"/>
        <v>1891606</v>
      </c>
      <c r="V140" s="302"/>
    </row>
    <row r="141" spans="1:29" s="25" customFormat="1" ht="9" customHeight="1">
      <c r="A141" s="295"/>
      <c r="B141" s="82">
        <f t="shared" si="3"/>
        <v>3068989</v>
      </c>
      <c r="C141" s="21"/>
      <c r="D141" s="21">
        <v>2</v>
      </c>
      <c r="E141" s="21">
        <v>3068987</v>
      </c>
      <c r="F141" s="299">
        <v>1711294</v>
      </c>
      <c r="G141" s="299"/>
      <c r="H141" s="21">
        <v>93169</v>
      </c>
      <c r="I141" s="21">
        <v>887505</v>
      </c>
      <c r="J141" s="21">
        <v>377019</v>
      </c>
      <c r="K141" s="22" t="s">
        <v>349</v>
      </c>
      <c r="L141" s="23" t="s">
        <v>306</v>
      </c>
      <c r="M141" s="21">
        <v>0</v>
      </c>
      <c r="N141" s="21">
        <v>2428788</v>
      </c>
      <c r="O141" s="21">
        <v>450123</v>
      </c>
      <c r="P141" s="299">
        <v>0</v>
      </c>
      <c r="Q141" s="299"/>
      <c r="R141" s="21">
        <v>2878911</v>
      </c>
      <c r="S141" s="21">
        <v>190079</v>
      </c>
      <c r="T141" s="21"/>
      <c r="U141" s="82">
        <f t="shared" si="4"/>
        <v>3068990</v>
      </c>
      <c r="V141" s="302"/>
    </row>
    <row r="142" spans="1:29" s="25" customFormat="1" ht="9" customHeight="1">
      <c r="A142" s="295"/>
      <c r="B142" s="82">
        <f t="shared" si="3"/>
        <v>12746014</v>
      </c>
      <c r="C142" s="21"/>
      <c r="D142" s="21">
        <v>934600</v>
      </c>
      <c r="E142" s="21">
        <v>11811414</v>
      </c>
      <c r="F142" s="299">
        <v>1035118</v>
      </c>
      <c r="G142" s="299"/>
      <c r="H142" s="21">
        <v>117563</v>
      </c>
      <c r="I142" s="21">
        <v>9645448</v>
      </c>
      <c r="J142" s="21">
        <v>1013285</v>
      </c>
      <c r="K142" s="22" t="s">
        <v>350</v>
      </c>
      <c r="L142" s="23" t="s">
        <v>308</v>
      </c>
      <c r="M142" s="21">
        <v>739647</v>
      </c>
      <c r="N142" s="288">
        <v>2945200</v>
      </c>
      <c r="O142" s="21">
        <v>7392988</v>
      </c>
      <c r="P142" s="299">
        <v>0</v>
      </c>
      <c r="Q142" s="299"/>
      <c r="R142" s="21">
        <v>11077835</v>
      </c>
      <c r="S142" s="21">
        <v>1668177</v>
      </c>
      <c r="T142" s="21"/>
      <c r="U142" s="82">
        <f t="shared" si="4"/>
        <v>12746012</v>
      </c>
      <c r="V142" s="302"/>
    </row>
    <row r="143" spans="1:29" s="25" customFormat="1" ht="9" customHeight="1">
      <c r="A143" s="295"/>
      <c r="B143" s="82">
        <f t="shared" si="3"/>
        <v>2360451</v>
      </c>
      <c r="C143" s="21"/>
      <c r="D143" s="21">
        <v>169771</v>
      </c>
      <c r="E143" s="21">
        <v>2190680</v>
      </c>
      <c r="F143" s="299">
        <v>106932</v>
      </c>
      <c r="G143" s="299"/>
      <c r="H143" s="21">
        <v>20681</v>
      </c>
      <c r="I143" s="21">
        <v>1691907</v>
      </c>
      <c r="J143" s="21">
        <v>371160</v>
      </c>
      <c r="K143" s="22" t="s">
        <v>351</v>
      </c>
      <c r="L143" s="23" t="s">
        <v>310</v>
      </c>
      <c r="M143" s="21">
        <v>12686</v>
      </c>
      <c r="N143" s="21">
        <v>694593</v>
      </c>
      <c r="O143" s="21">
        <v>1630750</v>
      </c>
      <c r="P143" s="299">
        <v>0</v>
      </c>
      <c r="Q143" s="299"/>
      <c r="R143" s="21">
        <v>2338029</v>
      </c>
      <c r="S143" s="21">
        <v>22421</v>
      </c>
      <c r="T143" s="21"/>
      <c r="U143" s="82">
        <f t="shared" si="4"/>
        <v>2360450</v>
      </c>
      <c r="V143" s="302"/>
    </row>
    <row r="144" spans="1:29" s="25" customFormat="1" ht="9" customHeight="1">
      <c r="A144" s="295"/>
      <c r="B144" s="82">
        <f t="shared" si="3"/>
        <v>10385563</v>
      </c>
      <c r="C144" s="21"/>
      <c r="D144" s="21">
        <v>764829</v>
      </c>
      <c r="E144" s="21">
        <v>9620734</v>
      </c>
      <c r="F144" s="299">
        <v>928186</v>
      </c>
      <c r="G144" s="299"/>
      <c r="H144" s="21">
        <v>96882</v>
      </c>
      <c r="I144" s="21">
        <v>7953541</v>
      </c>
      <c r="J144" s="21">
        <v>642125</v>
      </c>
      <c r="K144" s="22" t="s">
        <v>352</v>
      </c>
      <c r="L144" s="23" t="s">
        <v>312</v>
      </c>
      <c r="M144" s="21">
        <v>726961</v>
      </c>
      <c r="N144" s="21">
        <v>2250607</v>
      </c>
      <c r="O144" s="21">
        <v>5762238</v>
      </c>
      <c r="P144" s="299">
        <v>0</v>
      </c>
      <c r="Q144" s="299"/>
      <c r="R144" s="21">
        <v>8739806</v>
      </c>
      <c r="S144" s="21">
        <v>1645756</v>
      </c>
      <c r="T144" s="21"/>
      <c r="U144" s="82">
        <f t="shared" si="4"/>
        <v>10385562</v>
      </c>
      <c r="V144" s="302"/>
    </row>
    <row r="145" spans="1:22" s="25" customFormat="1" ht="9" customHeight="1">
      <c r="A145" s="295"/>
      <c r="B145" s="82">
        <f t="shared" si="3"/>
        <v>11122466</v>
      </c>
      <c r="C145" s="21"/>
      <c r="D145" s="21">
        <v>1587163</v>
      </c>
      <c r="E145" s="21">
        <v>9535303</v>
      </c>
      <c r="F145" s="299">
        <v>12986</v>
      </c>
      <c r="G145" s="299"/>
      <c r="H145" s="21">
        <v>1790053</v>
      </c>
      <c r="I145" s="21">
        <v>7438562</v>
      </c>
      <c r="J145" s="21">
        <v>293702</v>
      </c>
      <c r="K145" s="22" t="s">
        <v>353</v>
      </c>
      <c r="L145" s="23" t="s">
        <v>314</v>
      </c>
      <c r="M145" s="21">
        <v>2668774</v>
      </c>
      <c r="N145" s="288">
        <v>4676098</v>
      </c>
      <c r="O145" s="21">
        <v>1073806</v>
      </c>
      <c r="P145" s="299">
        <v>2527924</v>
      </c>
      <c r="Q145" s="299"/>
      <c r="R145" s="21">
        <v>10946602</v>
      </c>
      <c r="S145" s="21">
        <v>175864</v>
      </c>
      <c r="T145" s="21"/>
      <c r="U145" s="82">
        <f t="shared" si="4"/>
        <v>11122466</v>
      </c>
      <c r="V145" s="302"/>
    </row>
    <row r="146" spans="1:22" s="25" customFormat="1" ht="9" customHeight="1">
      <c r="A146" s="295"/>
      <c r="B146" s="82">
        <f t="shared" si="3"/>
        <v>3884506</v>
      </c>
      <c r="C146" s="21"/>
      <c r="D146" s="21">
        <v>459406</v>
      </c>
      <c r="E146" s="21">
        <v>3425100</v>
      </c>
      <c r="F146" s="299">
        <v>547</v>
      </c>
      <c r="G146" s="299"/>
      <c r="H146" s="21">
        <v>33573</v>
      </c>
      <c r="I146" s="21">
        <v>3354321</v>
      </c>
      <c r="J146" s="21">
        <v>36659</v>
      </c>
      <c r="K146" s="22" t="s">
        <v>354</v>
      </c>
      <c r="L146" s="23" t="s">
        <v>310</v>
      </c>
      <c r="M146" s="21">
        <v>464926</v>
      </c>
      <c r="N146" s="21">
        <v>3181331</v>
      </c>
      <c r="O146" s="21">
        <v>40918</v>
      </c>
      <c r="P146" s="299">
        <v>184144</v>
      </c>
      <c r="Q146" s="299"/>
      <c r="R146" s="21">
        <v>3871319</v>
      </c>
      <c r="S146" s="21">
        <v>13187</v>
      </c>
      <c r="T146" s="21"/>
      <c r="U146" s="82">
        <f t="shared" si="4"/>
        <v>3884506</v>
      </c>
      <c r="V146" s="302"/>
    </row>
    <row r="147" spans="1:22" s="25" customFormat="1" ht="9" customHeight="1">
      <c r="A147" s="295"/>
      <c r="B147" s="82">
        <f t="shared" si="3"/>
        <v>7237960</v>
      </c>
      <c r="C147" s="21"/>
      <c r="D147" s="21">
        <v>1127757</v>
      </c>
      <c r="E147" s="21">
        <v>6110203</v>
      </c>
      <c r="F147" s="299">
        <v>12439</v>
      </c>
      <c r="G147" s="299"/>
      <c r="H147" s="21">
        <v>1756480</v>
      </c>
      <c r="I147" s="21">
        <v>4084241</v>
      </c>
      <c r="J147" s="21">
        <v>257043</v>
      </c>
      <c r="K147" s="22" t="s">
        <v>355</v>
      </c>
      <c r="L147" s="23" t="s">
        <v>312</v>
      </c>
      <c r="M147" s="21">
        <v>2203848</v>
      </c>
      <c r="N147" s="21">
        <v>1494767</v>
      </c>
      <c r="O147" s="21">
        <v>1032888</v>
      </c>
      <c r="P147" s="299">
        <v>2343780</v>
      </c>
      <c r="Q147" s="299"/>
      <c r="R147" s="21">
        <v>7075283</v>
      </c>
      <c r="S147" s="21">
        <v>162677</v>
      </c>
      <c r="T147" s="21"/>
      <c r="U147" s="82">
        <f t="shared" si="4"/>
        <v>7237960</v>
      </c>
      <c r="V147" s="302"/>
    </row>
    <row r="148" spans="1:22" s="25" customFormat="1" ht="9" customHeight="1">
      <c r="A148" s="295"/>
      <c r="B148" s="82">
        <f t="shared" si="3"/>
        <v>28030622</v>
      </c>
      <c r="C148" s="21"/>
      <c r="D148" s="21">
        <v>4328294</v>
      </c>
      <c r="E148" s="21">
        <v>23702328</v>
      </c>
      <c r="F148" s="299">
        <v>5099298</v>
      </c>
      <c r="G148" s="299"/>
      <c r="H148" s="21">
        <v>838021</v>
      </c>
      <c r="I148" s="21">
        <v>12618829</v>
      </c>
      <c r="J148" s="21">
        <v>5146180</v>
      </c>
      <c r="K148" s="22" t="s">
        <v>356</v>
      </c>
      <c r="L148" s="23" t="s">
        <v>318</v>
      </c>
      <c r="M148" s="21">
        <v>9197906</v>
      </c>
      <c r="N148" s="21">
        <v>16564624</v>
      </c>
      <c r="O148" s="21">
        <v>0</v>
      </c>
      <c r="P148" s="299">
        <v>0</v>
      </c>
      <c r="Q148" s="299"/>
      <c r="R148" s="21">
        <v>25762530</v>
      </c>
      <c r="S148" s="21">
        <v>2268094</v>
      </c>
      <c r="T148" s="21"/>
      <c r="U148" s="82">
        <f t="shared" si="4"/>
        <v>28030624</v>
      </c>
      <c r="V148" s="302"/>
    </row>
    <row r="149" spans="1:22" s="25" customFormat="1" ht="9" customHeight="1">
      <c r="A149" s="295"/>
      <c r="B149" s="82">
        <f t="shared" si="3"/>
        <v>18217378</v>
      </c>
      <c r="C149" s="21"/>
      <c r="D149" s="21">
        <v>3928459</v>
      </c>
      <c r="E149" s="21">
        <v>14288919</v>
      </c>
      <c r="F149" s="299">
        <v>3593233</v>
      </c>
      <c r="G149" s="299"/>
      <c r="H149" s="21">
        <v>733922</v>
      </c>
      <c r="I149" s="21">
        <v>6209079</v>
      </c>
      <c r="J149" s="21">
        <v>3752685</v>
      </c>
      <c r="K149" s="22" t="s">
        <v>357</v>
      </c>
      <c r="L149" s="23" t="s">
        <v>409</v>
      </c>
      <c r="M149" s="21">
        <v>9197906</v>
      </c>
      <c r="N149" s="21">
        <v>7121239</v>
      </c>
      <c r="O149" s="21">
        <v>0</v>
      </c>
      <c r="P149" s="299">
        <v>0</v>
      </c>
      <c r="Q149" s="299"/>
      <c r="R149" s="21">
        <v>16319145</v>
      </c>
      <c r="S149" s="21">
        <v>1898234</v>
      </c>
      <c r="T149" s="21"/>
      <c r="U149" s="82">
        <f t="shared" si="4"/>
        <v>18217379</v>
      </c>
      <c r="V149" s="302"/>
    </row>
    <row r="150" spans="1:22" s="25" customFormat="1" ht="9" customHeight="1">
      <c r="A150" s="295"/>
      <c r="B150" s="82">
        <f t="shared" si="3"/>
        <v>5212075</v>
      </c>
      <c r="C150" s="21"/>
      <c r="D150" s="21">
        <v>2136767</v>
      </c>
      <c r="E150" s="21">
        <v>3075308</v>
      </c>
      <c r="F150" s="299">
        <v>448340</v>
      </c>
      <c r="G150" s="299"/>
      <c r="H150" s="21">
        <v>250882</v>
      </c>
      <c r="I150" s="21">
        <v>1810631</v>
      </c>
      <c r="J150" s="21">
        <v>565455</v>
      </c>
      <c r="K150" s="22" t="s">
        <v>358</v>
      </c>
      <c r="L150" s="23" t="s">
        <v>321</v>
      </c>
      <c r="M150" s="21">
        <v>2907889</v>
      </c>
      <c r="N150" s="21">
        <v>2225510</v>
      </c>
      <c r="O150" s="21">
        <v>0</v>
      </c>
      <c r="P150" s="299">
        <v>0</v>
      </c>
      <c r="Q150" s="299"/>
      <c r="R150" s="21">
        <v>5133399</v>
      </c>
      <c r="S150" s="21">
        <v>78677</v>
      </c>
      <c r="T150" s="21"/>
      <c r="U150" s="82">
        <f t="shared" si="4"/>
        <v>5212076</v>
      </c>
      <c r="V150" s="302"/>
    </row>
    <row r="151" spans="1:22" s="25" customFormat="1" ht="9" customHeight="1">
      <c r="A151" s="295"/>
      <c r="B151" s="82">
        <f t="shared" si="3"/>
        <v>13005303</v>
      </c>
      <c r="C151" s="21"/>
      <c r="D151" s="21">
        <v>1791692</v>
      </c>
      <c r="E151" s="21">
        <v>11213611</v>
      </c>
      <c r="F151" s="299">
        <v>3144893</v>
      </c>
      <c r="G151" s="299"/>
      <c r="H151" s="21">
        <v>483040</v>
      </c>
      <c r="I151" s="21">
        <v>4398448</v>
      </c>
      <c r="J151" s="21">
        <v>3187230</v>
      </c>
      <c r="K151" s="22" t="s">
        <v>359</v>
      </c>
      <c r="L151" s="23" t="s">
        <v>323</v>
      </c>
      <c r="M151" s="21">
        <v>6290017</v>
      </c>
      <c r="N151" s="21">
        <v>4895729</v>
      </c>
      <c r="O151" s="21">
        <v>0</v>
      </c>
      <c r="P151" s="299">
        <v>0</v>
      </c>
      <c r="Q151" s="299"/>
      <c r="R151" s="21">
        <v>11185746</v>
      </c>
      <c r="S151" s="21">
        <v>1819557</v>
      </c>
      <c r="T151" s="21"/>
      <c r="U151" s="82">
        <f t="shared" si="4"/>
        <v>13005303</v>
      </c>
      <c r="V151" s="302"/>
    </row>
    <row r="152" spans="1:22" s="25" customFormat="1" ht="9" customHeight="1">
      <c r="A152" s="295"/>
      <c r="B152" s="82">
        <f t="shared" si="3"/>
        <v>9813244</v>
      </c>
      <c r="C152" s="21"/>
      <c r="D152" s="21">
        <v>399835</v>
      </c>
      <c r="E152" s="21">
        <v>9413409</v>
      </c>
      <c r="F152" s="299">
        <v>1506065</v>
      </c>
      <c r="G152" s="299"/>
      <c r="H152" s="21">
        <v>104099</v>
      </c>
      <c r="I152" s="21">
        <v>6409750</v>
      </c>
      <c r="J152" s="21">
        <v>1393495</v>
      </c>
      <c r="K152" s="22" t="s">
        <v>360</v>
      </c>
      <c r="L152" s="23" t="s">
        <v>325</v>
      </c>
      <c r="M152" s="21">
        <v>0</v>
      </c>
      <c r="N152" s="21">
        <v>9443385</v>
      </c>
      <c r="O152" s="21">
        <v>0</v>
      </c>
      <c r="P152" s="299">
        <v>0</v>
      </c>
      <c r="Q152" s="299"/>
      <c r="R152" s="21">
        <v>9443385</v>
      </c>
      <c r="S152" s="21">
        <v>369860</v>
      </c>
      <c r="T152" s="21"/>
      <c r="U152" s="82">
        <f t="shared" si="4"/>
        <v>9813245</v>
      </c>
      <c r="V152" s="302"/>
    </row>
    <row r="153" spans="1:22" s="25" customFormat="1" ht="9" customHeight="1">
      <c r="A153" s="295"/>
      <c r="B153" s="82">
        <f t="shared" si="3"/>
        <v>2182304</v>
      </c>
      <c r="C153" s="21"/>
      <c r="D153" s="21">
        <v>0</v>
      </c>
      <c r="E153" s="21">
        <v>2182304</v>
      </c>
      <c r="F153" s="299">
        <v>2131971</v>
      </c>
      <c r="G153" s="299"/>
      <c r="H153" s="21">
        <v>0</v>
      </c>
      <c r="I153" s="21">
        <v>26392</v>
      </c>
      <c r="J153" s="21">
        <v>23941</v>
      </c>
      <c r="K153" s="22" t="s">
        <v>361</v>
      </c>
      <c r="L153" s="23" t="s">
        <v>402</v>
      </c>
      <c r="M153" s="21">
        <v>0</v>
      </c>
      <c r="N153" s="21">
        <v>2182304</v>
      </c>
      <c r="O153" s="21">
        <v>0</v>
      </c>
      <c r="P153" s="299">
        <v>0</v>
      </c>
      <c r="Q153" s="299"/>
      <c r="R153" s="21">
        <v>2182304</v>
      </c>
      <c r="S153" s="21">
        <v>0</v>
      </c>
      <c r="T153" s="21"/>
      <c r="U153" s="82">
        <f t="shared" si="4"/>
        <v>2182304</v>
      </c>
      <c r="V153" s="302"/>
    </row>
    <row r="154" spans="1:22" s="25" customFormat="1" ht="9" customHeight="1">
      <c r="A154" s="295"/>
      <c r="B154" s="82">
        <f t="shared" si="3"/>
        <v>197409</v>
      </c>
      <c r="C154" s="21"/>
      <c r="D154" s="21">
        <v>0</v>
      </c>
      <c r="E154" s="21">
        <v>197409</v>
      </c>
      <c r="F154" s="299">
        <v>147076</v>
      </c>
      <c r="G154" s="299"/>
      <c r="H154" s="21">
        <v>0</v>
      </c>
      <c r="I154" s="21">
        <v>26392</v>
      </c>
      <c r="J154" s="21">
        <v>23941</v>
      </c>
      <c r="K154" s="22" t="s">
        <v>362</v>
      </c>
      <c r="L154" s="23" t="s">
        <v>328</v>
      </c>
      <c r="M154" s="21">
        <v>0</v>
      </c>
      <c r="N154" s="21">
        <v>197409</v>
      </c>
      <c r="O154" s="21">
        <v>0</v>
      </c>
      <c r="P154" s="299">
        <v>0</v>
      </c>
      <c r="Q154" s="299"/>
      <c r="R154" s="21">
        <v>197409</v>
      </c>
      <c r="S154" s="21">
        <v>0</v>
      </c>
      <c r="T154" s="21"/>
      <c r="U154" s="82">
        <f t="shared" si="4"/>
        <v>197409</v>
      </c>
      <c r="V154" s="302"/>
    </row>
    <row r="155" spans="1:22" s="25" customFormat="1" ht="9" customHeight="1">
      <c r="A155" s="295"/>
      <c r="B155" s="82">
        <f t="shared" si="3"/>
        <v>798335</v>
      </c>
      <c r="C155" s="21"/>
      <c r="D155" s="21">
        <v>0</v>
      </c>
      <c r="E155" s="21">
        <v>798335</v>
      </c>
      <c r="F155" s="299">
        <v>798335</v>
      </c>
      <c r="G155" s="299"/>
      <c r="H155" s="21">
        <v>0</v>
      </c>
      <c r="I155" s="21">
        <v>0</v>
      </c>
      <c r="J155" s="21">
        <v>0</v>
      </c>
      <c r="K155" s="22" t="s">
        <v>363</v>
      </c>
      <c r="L155" s="23" t="s">
        <v>330</v>
      </c>
      <c r="M155" s="21">
        <v>0</v>
      </c>
      <c r="N155" s="21">
        <v>798335</v>
      </c>
      <c r="O155" s="21">
        <v>0</v>
      </c>
      <c r="P155" s="299">
        <v>0</v>
      </c>
      <c r="Q155" s="299"/>
      <c r="R155" s="21">
        <v>798335</v>
      </c>
      <c r="S155" s="21">
        <v>0</v>
      </c>
      <c r="T155" s="21"/>
      <c r="U155" s="82">
        <f t="shared" si="4"/>
        <v>798335</v>
      </c>
      <c r="V155" s="302"/>
    </row>
    <row r="156" spans="1:22" s="25" customFormat="1" ht="9" customHeight="1">
      <c r="A156" s="295"/>
      <c r="B156" s="82">
        <f t="shared" si="3"/>
        <v>1186560</v>
      </c>
      <c r="C156" s="21"/>
      <c r="D156" s="21">
        <v>0</v>
      </c>
      <c r="E156" s="21">
        <v>1186560</v>
      </c>
      <c r="F156" s="299">
        <v>1186560</v>
      </c>
      <c r="G156" s="299"/>
      <c r="H156" s="21">
        <v>0</v>
      </c>
      <c r="I156" s="21">
        <v>0</v>
      </c>
      <c r="J156" s="21">
        <v>0</v>
      </c>
      <c r="K156" s="22" t="s">
        <v>364</v>
      </c>
      <c r="L156" s="23" t="s">
        <v>332</v>
      </c>
      <c r="M156" s="21">
        <v>0</v>
      </c>
      <c r="N156" s="21">
        <v>1186560</v>
      </c>
      <c r="O156" s="21">
        <v>0</v>
      </c>
      <c r="P156" s="299">
        <v>0</v>
      </c>
      <c r="Q156" s="299"/>
      <c r="R156" s="21">
        <v>1186560</v>
      </c>
      <c r="S156" s="21">
        <v>0</v>
      </c>
      <c r="T156" s="21"/>
      <c r="U156" s="82">
        <f t="shared" si="4"/>
        <v>1186560</v>
      </c>
      <c r="V156" s="302"/>
    </row>
    <row r="157" spans="1:22" s="25" customFormat="1" ht="9" customHeight="1">
      <c r="A157" s="295"/>
      <c r="B157" s="82">
        <f t="shared" si="3"/>
        <v>272995</v>
      </c>
      <c r="C157" s="21"/>
      <c r="D157" s="21">
        <v>1299</v>
      </c>
      <c r="E157" s="21">
        <v>271696</v>
      </c>
      <c r="F157" s="299">
        <v>2018</v>
      </c>
      <c r="G157" s="299"/>
      <c r="H157" s="21">
        <v>0</v>
      </c>
      <c r="I157" s="21">
        <v>207965</v>
      </c>
      <c r="J157" s="21">
        <v>61713</v>
      </c>
      <c r="K157" s="22" t="s">
        <v>365</v>
      </c>
      <c r="L157" s="23" t="s">
        <v>334</v>
      </c>
      <c r="M157" s="21">
        <v>41870</v>
      </c>
      <c r="N157" s="21">
        <v>221531</v>
      </c>
      <c r="O157" s="21">
        <v>0</v>
      </c>
      <c r="P157" s="299">
        <v>2400</v>
      </c>
      <c r="Q157" s="299"/>
      <c r="R157" s="21">
        <v>265801</v>
      </c>
      <c r="S157" s="21">
        <v>7195</v>
      </c>
      <c r="T157" s="21"/>
      <c r="U157" s="82">
        <f t="shared" si="4"/>
        <v>272996</v>
      </c>
      <c r="V157" s="302"/>
    </row>
    <row r="158" spans="1:22" s="25" customFormat="1" ht="9" customHeight="1">
      <c r="A158" s="295"/>
      <c r="B158" s="82">
        <f t="shared" si="3"/>
        <v>3061349</v>
      </c>
      <c r="C158" s="21"/>
      <c r="D158" s="21">
        <v>778172</v>
      </c>
      <c r="E158" s="21">
        <v>2283177</v>
      </c>
      <c r="F158" s="299">
        <v>148019</v>
      </c>
      <c r="G158" s="299"/>
      <c r="H158" s="21">
        <v>8730</v>
      </c>
      <c r="I158" s="21">
        <v>1197393</v>
      </c>
      <c r="J158" s="21">
        <v>929035</v>
      </c>
      <c r="K158" s="22" t="s">
        <v>366</v>
      </c>
      <c r="L158" s="23" t="s">
        <v>336</v>
      </c>
      <c r="M158" s="21">
        <v>1207761</v>
      </c>
      <c r="N158" s="21">
        <v>1508516</v>
      </c>
      <c r="O158" s="21">
        <v>13538</v>
      </c>
      <c r="P158" s="299">
        <v>39555</v>
      </c>
      <c r="Q158" s="299"/>
      <c r="R158" s="21">
        <v>2769370</v>
      </c>
      <c r="S158" s="21">
        <v>291978</v>
      </c>
      <c r="T158" s="21"/>
      <c r="U158" s="82">
        <f t="shared" si="4"/>
        <v>3061348</v>
      </c>
      <c r="V158" s="302"/>
    </row>
    <row r="159" spans="1:22" s="25" customFormat="1" ht="9" customHeight="1">
      <c r="A159" s="295"/>
      <c r="B159" s="82">
        <f t="shared" si="3"/>
        <v>1125534</v>
      </c>
      <c r="C159" s="21"/>
      <c r="D159" s="21">
        <v>778172</v>
      </c>
      <c r="E159" s="21">
        <v>347362</v>
      </c>
      <c r="F159" s="299">
        <v>707</v>
      </c>
      <c r="G159" s="299"/>
      <c r="H159" s="21">
        <v>0</v>
      </c>
      <c r="I159" s="21">
        <v>97471</v>
      </c>
      <c r="J159" s="21">
        <v>249184</v>
      </c>
      <c r="K159" s="22" t="s">
        <v>367</v>
      </c>
      <c r="L159" s="23" t="s">
        <v>338</v>
      </c>
      <c r="M159" s="21">
        <v>870321</v>
      </c>
      <c r="N159" s="21">
        <v>70303</v>
      </c>
      <c r="O159" s="21">
        <v>0</v>
      </c>
      <c r="P159" s="299">
        <v>2456</v>
      </c>
      <c r="Q159" s="299"/>
      <c r="R159" s="21">
        <v>943080</v>
      </c>
      <c r="S159" s="21">
        <v>182453</v>
      </c>
      <c r="T159" s="21"/>
      <c r="U159" s="82">
        <f t="shared" si="4"/>
        <v>1125533</v>
      </c>
      <c r="V159" s="302"/>
    </row>
    <row r="160" spans="1:22" s="25" customFormat="1" ht="9" customHeight="1">
      <c r="A160" s="295"/>
      <c r="B160" s="82">
        <f t="shared" si="3"/>
        <v>1935815</v>
      </c>
      <c r="C160" s="21"/>
      <c r="D160" s="21">
        <v>0</v>
      </c>
      <c r="E160" s="21">
        <v>1935815</v>
      </c>
      <c r="F160" s="299">
        <v>147312</v>
      </c>
      <c r="G160" s="299"/>
      <c r="H160" s="21">
        <v>8730</v>
      </c>
      <c r="I160" s="21">
        <v>1099922</v>
      </c>
      <c r="J160" s="21">
        <v>679851</v>
      </c>
      <c r="K160" s="22" t="s">
        <v>368</v>
      </c>
      <c r="L160" s="23" t="s">
        <v>340</v>
      </c>
      <c r="M160" s="21">
        <v>337440</v>
      </c>
      <c r="N160" s="21">
        <v>1438213</v>
      </c>
      <c r="O160" s="21">
        <v>13538</v>
      </c>
      <c r="P160" s="299">
        <v>37099</v>
      </c>
      <c r="Q160" s="299"/>
      <c r="R160" s="21">
        <v>1826290</v>
      </c>
      <c r="S160" s="21">
        <v>109525</v>
      </c>
      <c r="T160" s="21"/>
      <c r="U160" s="82">
        <f t="shared" si="4"/>
        <v>1935815</v>
      </c>
      <c r="V160" s="302"/>
    </row>
    <row r="161" spans="1:22" s="25" customFormat="1" ht="12.6" customHeight="1" thickBot="1">
      <c r="A161" s="296"/>
      <c r="B161" s="120">
        <f>ROUND(E161+D161,0)</f>
        <v>21310</v>
      </c>
      <c r="C161" s="63"/>
      <c r="D161" s="63">
        <f>D136-S136</f>
        <v>2931682</v>
      </c>
      <c r="E161" s="63">
        <f>E136-R136</f>
        <v>-2910372</v>
      </c>
      <c r="F161" s="300">
        <f>F136-P136</f>
        <v>8019963</v>
      </c>
      <c r="G161" s="300"/>
      <c r="H161" s="83">
        <f>H136-O136</f>
        <v>-4588390</v>
      </c>
      <c r="I161" s="83">
        <f>I136-N136</f>
        <v>-471730</v>
      </c>
      <c r="J161" s="83">
        <f>J136-M136</f>
        <v>-5870215</v>
      </c>
      <c r="K161" s="48" t="s">
        <v>369</v>
      </c>
      <c r="L161" s="49" t="s">
        <v>370</v>
      </c>
      <c r="M161" s="63"/>
      <c r="N161" s="63"/>
      <c r="O161" s="63"/>
      <c r="P161" s="300"/>
      <c r="Q161" s="300"/>
      <c r="R161" s="63"/>
      <c r="S161" s="69"/>
      <c r="T161" s="63"/>
      <c r="U161" s="69"/>
      <c r="V161" s="303"/>
    </row>
    <row r="162" spans="1:22" s="53" customFormat="1" ht="10.9" customHeight="1" thickTop="1">
      <c r="A162" s="53" t="s">
        <v>106</v>
      </c>
      <c r="B162" s="75"/>
      <c r="C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T162" s="75"/>
      <c r="U162" s="75"/>
    </row>
    <row r="163" spans="1:22" s="54" customFormat="1" ht="7.9" customHeight="1">
      <c r="A163" s="54" t="s">
        <v>286</v>
      </c>
      <c r="B163" s="76"/>
      <c r="C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T163" s="76"/>
      <c r="U163" s="76"/>
    </row>
  </sheetData>
  <mergeCells count="218">
    <mergeCell ref="A3:A6"/>
    <mergeCell ref="C3:D3"/>
    <mergeCell ref="K3:K6"/>
    <mergeCell ref="A9:A17"/>
    <mergeCell ref="J3:J6"/>
    <mergeCell ref="F132:G132"/>
    <mergeCell ref="P132:Q132"/>
    <mergeCell ref="B3:B6"/>
    <mergeCell ref="G3:G6"/>
    <mergeCell ref="E3:E6"/>
    <mergeCell ref="D4:D6"/>
    <mergeCell ref="C4:C6"/>
    <mergeCell ref="A80:A105"/>
    <mergeCell ref="F80:G80"/>
    <mergeCell ref="F84:G84"/>
    <mergeCell ref="F85:G85"/>
    <mergeCell ref="F83:G83"/>
    <mergeCell ref="F89:G89"/>
    <mergeCell ref="F87:G87"/>
    <mergeCell ref="F81:G81"/>
    <mergeCell ref="F82:G82"/>
    <mergeCell ref="F86:G86"/>
    <mergeCell ref="F90:G90"/>
    <mergeCell ref="F100:G100"/>
    <mergeCell ref="S3:T3"/>
    <mergeCell ref="Q3:Q6"/>
    <mergeCell ref="O3:O6"/>
    <mergeCell ref="N3:N6"/>
    <mergeCell ref="M3:M6"/>
    <mergeCell ref="L3:L6"/>
    <mergeCell ref="A28:A37"/>
    <mergeCell ref="A64:A72"/>
    <mergeCell ref="V64:V72"/>
    <mergeCell ref="V55:V61"/>
    <mergeCell ref="V53:V54"/>
    <mergeCell ref="A38:A53"/>
    <mergeCell ref="V37:V52"/>
    <mergeCell ref="A54:A55"/>
    <mergeCell ref="U3:U6"/>
    <mergeCell ref="V3:V6"/>
    <mergeCell ref="R3:R6"/>
    <mergeCell ref="P3:P6"/>
    <mergeCell ref="T4:T6"/>
    <mergeCell ref="S4:S6"/>
    <mergeCell ref="F3:F6"/>
    <mergeCell ref="A18:A27"/>
    <mergeCell ref="H3:H6"/>
    <mergeCell ref="I3:I6"/>
    <mergeCell ref="S74:T77"/>
    <mergeCell ref="V9:V15"/>
    <mergeCell ref="V18:V36"/>
    <mergeCell ref="A74:A77"/>
    <mergeCell ref="B74:B77"/>
    <mergeCell ref="E74:E77"/>
    <mergeCell ref="F74:G77"/>
    <mergeCell ref="A56:A61"/>
    <mergeCell ref="L74:L77"/>
    <mergeCell ref="V74:V77"/>
    <mergeCell ref="U74:U77"/>
    <mergeCell ref="V16:V17"/>
    <mergeCell ref="H74:H77"/>
    <mergeCell ref="I74:I77"/>
    <mergeCell ref="J74:J77"/>
    <mergeCell ref="K74:K77"/>
    <mergeCell ref="C74:D77"/>
    <mergeCell ref="F88:G88"/>
    <mergeCell ref="F95:G95"/>
    <mergeCell ref="P95:Q95"/>
    <mergeCell ref="P88:Q88"/>
    <mergeCell ref="F92:G92"/>
    <mergeCell ref="P92:Q92"/>
    <mergeCell ref="V80:V105"/>
    <mergeCell ref="M74:M77"/>
    <mergeCell ref="N74:N77"/>
    <mergeCell ref="O74:O77"/>
    <mergeCell ref="P74:Q77"/>
    <mergeCell ref="P81:Q81"/>
    <mergeCell ref="P82:Q82"/>
    <mergeCell ref="R74:R77"/>
    <mergeCell ref="P91:Q91"/>
    <mergeCell ref="P87:Q87"/>
    <mergeCell ref="P80:Q80"/>
    <mergeCell ref="P84:Q84"/>
    <mergeCell ref="P90:Q90"/>
    <mergeCell ref="P85:Q85"/>
    <mergeCell ref="P89:Q89"/>
    <mergeCell ref="P83:Q83"/>
    <mergeCell ref="P86:Q86"/>
    <mergeCell ref="P100:Q100"/>
    <mergeCell ref="F96:G96"/>
    <mergeCell ref="P96:Q96"/>
    <mergeCell ref="P94:Q94"/>
    <mergeCell ref="F101:G101"/>
    <mergeCell ref="P101:Q101"/>
    <mergeCell ref="F91:G91"/>
    <mergeCell ref="F104:G104"/>
    <mergeCell ref="P104:Q104"/>
    <mergeCell ref="F97:G97"/>
    <mergeCell ref="P97:Q97"/>
    <mergeCell ref="F98:G98"/>
    <mergeCell ref="P98:Q98"/>
    <mergeCell ref="F103:G103"/>
    <mergeCell ref="P103:Q103"/>
    <mergeCell ref="F99:G99"/>
    <mergeCell ref="P99:Q99"/>
    <mergeCell ref="F102:G102"/>
    <mergeCell ref="P102:Q102"/>
    <mergeCell ref="F93:G93"/>
    <mergeCell ref="P93:Q93"/>
    <mergeCell ref="F94:G94"/>
    <mergeCell ref="V108:V133"/>
    <mergeCell ref="F109:G109"/>
    <mergeCell ref="P109:Q109"/>
    <mergeCell ref="F110:G110"/>
    <mergeCell ref="P110:Q110"/>
    <mergeCell ref="F113:G113"/>
    <mergeCell ref="P113:Q113"/>
    <mergeCell ref="P119:Q119"/>
    <mergeCell ref="F114:G114"/>
    <mergeCell ref="P114:Q114"/>
    <mergeCell ref="F126:G126"/>
    <mergeCell ref="P126:Q126"/>
    <mergeCell ref="F127:G127"/>
    <mergeCell ref="P127:Q127"/>
    <mergeCell ref="F128:G128"/>
    <mergeCell ref="P128:Q128"/>
    <mergeCell ref="F129:G129"/>
    <mergeCell ref="P129:Q129"/>
    <mergeCell ref="P133:Q133"/>
    <mergeCell ref="P153:Q153"/>
    <mergeCell ref="F150:G150"/>
    <mergeCell ref="F133:G133"/>
    <mergeCell ref="A108:A133"/>
    <mergeCell ref="F108:G108"/>
    <mergeCell ref="P108:Q108"/>
    <mergeCell ref="F112:G112"/>
    <mergeCell ref="P112:Q112"/>
    <mergeCell ref="F119:G119"/>
    <mergeCell ref="F123:G123"/>
    <mergeCell ref="P123:Q123"/>
    <mergeCell ref="F117:G117"/>
    <mergeCell ref="P117:Q117"/>
    <mergeCell ref="F122:G122"/>
    <mergeCell ref="P122:Q122"/>
    <mergeCell ref="F120:G120"/>
    <mergeCell ref="P120:Q120"/>
    <mergeCell ref="F121:G121"/>
    <mergeCell ref="P121:Q121"/>
    <mergeCell ref="F130:G130"/>
    <mergeCell ref="P130:Q130"/>
    <mergeCell ref="F124:G124"/>
    <mergeCell ref="P148:Q148"/>
    <mergeCell ref="P124:Q124"/>
    <mergeCell ref="F125:G125"/>
    <mergeCell ref="P125:Q125"/>
    <mergeCell ref="F131:G131"/>
    <mergeCell ref="P131:Q131"/>
    <mergeCell ref="F139:G139"/>
    <mergeCell ref="F149:G149"/>
    <mergeCell ref="P149:Q149"/>
    <mergeCell ref="F105:G105"/>
    <mergeCell ref="P105:Q105"/>
    <mergeCell ref="F111:G111"/>
    <mergeCell ref="P111:Q111"/>
    <mergeCell ref="F118:G118"/>
    <mergeCell ref="P118:Q118"/>
    <mergeCell ref="F115:G115"/>
    <mergeCell ref="P115:Q115"/>
    <mergeCell ref="F116:G116"/>
    <mergeCell ref="P116:Q116"/>
    <mergeCell ref="V136:V161"/>
    <mergeCell ref="F137:G137"/>
    <mergeCell ref="P137:Q137"/>
    <mergeCell ref="F138:G138"/>
    <mergeCell ref="P138:Q138"/>
    <mergeCell ref="F141:G141"/>
    <mergeCell ref="P141:Q141"/>
    <mergeCell ref="P142:Q142"/>
    <mergeCell ref="F143:G143"/>
    <mergeCell ref="P143:Q143"/>
    <mergeCell ref="P139:Q139"/>
    <mergeCell ref="F145:G145"/>
    <mergeCell ref="P145:Q145"/>
    <mergeCell ref="F140:G140"/>
    <mergeCell ref="P140:Q140"/>
    <mergeCell ref="F154:G154"/>
    <mergeCell ref="P154:Q154"/>
    <mergeCell ref="F153:G153"/>
    <mergeCell ref="F155:G155"/>
    <mergeCell ref="P155:Q155"/>
    <mergeCell ref="P150:Q150"/>
    <mergeCell ref="F151:G151"/>
    <mergeCell ref="P151:Q151"/>
    <mergeCell ref="F148:G148"/>
    <mergeCell ref="A136:A161"/>
    <mergeCell ref="F136:G136"/>
    <mergeCell ref="P136:Q136"/>
    <mergeCell ref="F147:G147"/>
    <mergeCell ref="P147:Q147"/>
    <mergeCell ref="F142:G142"/>
    <mergeCell ref="F146:G146"/>
    <mergeCell ref="P146:Q146"/>
    <mergeCell ref="F144:G144"/>
    <mergeCell ref="P144:Q144"/>
    <mergeCell ref="F161:G161"/>
    <mergeCell ref="P161:Q161"/>
    <mergeCell ref="F157:G157"/>
    <mergeCell ref="P157:Q157"/>
    <mergeCell ref="F158:G158"/>
    <mergeCell ref="P158:Q158"/>
    <mergeCell ref="F159:G159"/>
    <mergeCell ref="P159:Q159"/>
    <mergeCell ref="F156:G156"/>
    <mergeCell ref="P156:Q156"/>
    <mergeCell ref="F160:G160"/>
    <mergeCell ref="P160:Q160"/>
    <mergeCell ref="F152:G152"/>
    <mergeCell ref="P152:Q152"/>
  </mergeCells>
  <phoneticPr fontId="0" type="noConversion"/>
  <printOptions horizontalCentered="1" verticalCentered="1"/>
  <pageMargins left="0" right="0" top="0.19685039370078741" bottom="0.19685039370078741" header="0" footer="0"/>
  <pageSetup paperSize="9" scale="68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7E36-A0C2-4417-AD23-6EBCD66A83CF}">
  <dimension ref="B2:T203"/>
  <sheetViews>
    <sheetView topLeftCell="A3" zoomScale="160" zoomScaleNormal="160" workbookViewId="0">
      <selection activeCell="D14" sqref="D14"/>
    </sheetView>
  </sheetViews>
  <sheetFormatPr defaultRowHeight="8.25"/>
  <cols>
    <col min="2" max="2" width="4.3984375" customWidth="1"/>
    <col min="3" max="3" width="58" bestFit="1" customWidth="1"/>
    <col min="4" max="4" width="13" bestFit="1" customWidth="1"/>
    <col min="5" max="5" width="12.796875" bestFit="1" customWidth="1"/>
    <col min="6" max="6" width="12.19921875" bestFit="1" customWidth="1"/>
    <col min="7" max="7" width="12.59765625" bestFit="1" customWidth="1"/>
    <col min="8" max="8" width="12.796875" bestFit="1" customWidth="1"/>
    <col min="9" max="9" width="12.59765625" bestFit="1" customWidth="1"/>
    <col min="10" max="10" width="12.796875" bestFit="1" customWidth="1"/>
    <col min="11" max="12" width="12.59765625" bestFit="1" customWidth="1"/>
    <col min="13" max="13" width="12.3984375" bestFit="1" customWidth="1"/>
    <col min="14" max="14" width="13.59765625" bestFit="1" customWidth="1"/>
    <col min="15" max="15" width="12.19921875" bestFit="1" customWidth="1"/>
    <col min="16" max="16" width="10" bestFit="1" customWidth="1"/>
    <col min="17" max="17" width="10" customWidth="1"/>
    <col min="18" max="18" width="45.3984375" bestFit="1" customWidth="1"/>
    <col min="19" max="19" width="72.796875" bestFit="1" customWidth="1"/>
    <col min="20" max="20" width="9.3984375" bestFit="1" customWidth="1"/>
  </cols>
  <sheetData>
    <row r="2" spans="3:15" ht="8.25" customHeight="1">
      <c r="D2" s="313" t="s">
        <v>2</v>
      </c>
      <c r="E2" s="314"/>
      <c r="F2" s="313" t="s">
        <v>293</v>
      </c>
      <c r="G2" s="314"/>
      <c r="H2" s="313" t="s">
        <v>266</v>
      </c>
      <c r="I2" s="314"/>
      <c r="J2" s="313" t="s">
        <v>265</v>
      </c>
      <c r="K2" s="314"/>
      <c r="L2" s="313" t="s">
        <v>412</v>
      </c>
      <c r="M2" s="314"/>
    </row>
    <row r="3" spans="3:15">
      <c r="D3" s="315"/>
      <c r="E3" s="316"/>
      <c r="F3" s="315"/>
      <c r="G3" s="316"/>
      <c r="H3" s="315"/>
      <c r="I3" s="316"/>
      <c r="J3" s="315"/>
      <c r="K3" s="316"/>
      <c r="L3" s="315"/>
      <c r="M3" s="316"/>
    </row>
    <row r="4" spans="3:15">
      <c r="D4" s="315"/>
      <c r="E4" s="316"/>
      <c r="F4" s="315"/>
      <c r="G4" s="316"/>
      <c r="H4" s="315"/>
      <c r="I4" s="316"/>
      <c r="J4" s="315"/>
      <c r="K4" s="316"/>
      <c r="L4" s="315"/>
      <c r="M4" s="316"/>
    </row>
    <row r="5" spans="3:15">
      <c r="D5" s="315"/>
      <c r="E5" s="316"/>
      <c r="F5" s="315"/>
      <c r="G5" s="316"/>
      <c r="H5" s="315"/>
      <c r="I5" s="316"/>
      <c r="J5" s="315"/>
      <c r="K5" s="316"/>
      <c r="L5" s="315"/>
      <c r="M5" s="316"/>
    </row>
    <row r="6" spans="3:15">
      <c r="D6" s="136" t="s">
        <v>413</v>
      </c>
      <c r="E6" s="136" t="s">
        <v>414</v>
      </c>
      <c r="F6" s="136" t="s">
        <v>413</v>
      </c>
      <c r="G6" s="136" t="s">
        <v>414</v>
      </c>
      <c r="H6" s="136" t="s">
        <v>413</v>
      </c>
      <c r="I6" s="136" t="s">
        <v>414</v>
      </c>
      <c r="J6" s="136" t="s">
        <v>413</v>
      </c>
      <c r="K6" s="136" t="s">
        <v>414</v>
      </c>
      <c r="L6" s="136" t="s">
        <v>413</v>
      </c>
      <c r="M6" s="136" t="s">
        <v>414</v>
      </c>
    </row>
    <row r="7" spans="3:15">
      <c r="C7" s="131" t="s">
        <v>98</v>
      </c>
      <c r="D7" s="139">
        <f>CEI!G16+CEI!F16</f>
        <v>1415200</v>
      </c>
      <c r="E7" s="139"/>
      <c r="F7" s="139">
        <f>CEI!H16</f>
        <v>1146900</v>
      </c>
      <c r="G7" s="139"/>
      <c r="H7" s="139">
        <f>CEI!I16+SimulTRU!I19</f>
        <v>518661</v>
      </c>
      <c r="I7" s="139"/>
      <c r="J7" s="139">
        <f>CEI!J16+CEI!C15-SimulTRU!I19</f>
        <v>4528836</v>
      </c>
      <c r="K7" s="139"/>
      <c r="L7" s="139">
        <f>CEI!S9</f>
        <v>1206009</v>
      </c>
      <c r="M7" s="139">
        <f>CEI!T10</f>
        <v>1252049</v>
      </c>
      <c r="N7" s="139">
        <f>SUM(D7:J7)</f>
        <v>7609597</v>
      </c>
      <c r="O7" s="139">
        <f>CEI!B16</f>
        <v>7609597</v>
      </c>
    </row>
    <row r="8" spans="3:15">
      <c r="C8" s="132" t="str">
        <f>CEI!L16</f>
        <v>Valor adicionado bruto/Produto interno bruto (1)</v>
      </c>
      <c r="D8" s="140">
        <f>SUM(CEI!P19:Q19)</f>
        <v>2532554</v>
      </c>
      <c r="E8" s="141">
        <f>SUM(CEI!F19:G19)</f>
        <v>171995</v>
      </c>
      <c r="F8" s="141"/>
      <c r="G8" s="141">
        <f>CEI!H19</f>
        <v>780730</v>
      </c>
      <c r="H8" s="141"/>
      <c r="I8" s="141">
        <f>CEI!I19</f>
        <v>140138</v>
      </c>
      <c r="J8" s="141"/>
      <c r="K8" s="141">
        <f>CEI!J19</f>
        <v>1439098</v>
      </c>
      <c r="L8" s="141">
        <f>CEI!S18</f>
        <v>708</v>
      </c>
      <c r="M8" s="142">
        <f>CEI!D19</f>
        <v>1301</v>
      </c>
      <c r="N8" s="139">
        <f>D8+F8+H8+J8+L8-M8-K8-I8-G8-E8</f>
        <v>0</v>
      </c>
    </row>
    <row r="9" spans="3:15">
      <c r="C9" s="133" t="str">
        <f>CEI!L21</f>
        <v xml:space="preserve">    Contribuições sociais efetivas</v>
      </c>
      <c r="D9" s="143">
        <f>CEI!P21</f>
        <v>562617</v>
      </c>
      <c r="E9" s="144">
        <f>CEI!F21+CEI!G21</f>
        <v>12029</v>
      </c>
      <c r="F9" s="144"/>
      <c r="G9" s="144">
        <f>CEI!H21</f>
        <v>150509</v>
      </c>
      <c r="H9" s="144"/>
      <c r="I9" s="144">
        <f>CEI!I21</f>
        <v>41011</v>
      </c>
      <c r="J9" s="144"/>
      <c r="K9" s="144">
        <f>CEI!J20</f>
        <v>359068</v>
      </c>
      <c r="L9" s="144"/>
      <c r="M9" s="145"/>
      <c r="N9" s="139">
        <f>D9+F9+H9+J9+L9-M9-K9-I9-G9-E9</f>
        <v>0</v>
      </c>
    </row>
    <row r="10" spans="3:15">
      <c r="C10" s="133" t="s">
        <v>542</v>
      </c>
      <c r="D10" s="144">
        <f>CEI!P22</f>
        <v>97765</v>
      </c>
      <c r="F10" s="144"/>
      <c r="G10" s="144">
        <f>CEI!H22</f>
        <v>97765</v>
      </c>
      <c r="H10" s="144"/>
      <c r="I10" s="144"/>
      <c r="J10" s="144"/>
      <c r="K10" s="144"/>
      <c r="L10" s="144"/>
      <c r="M10" s="145"/>
      <c r="N10" s="139"/>
    </row>
    <row r="11" spans="3:15">
      <c r="C11" s="134" t="s">
        <v>19</v>
      </c>
      <c r="D11" s="143"/>
      <c r="E11" s="144"/>
      <c r="F11" s="144">
        <f>CEI!O24</f>
        <v>1014660</v>
      </c>
      <c r="G11" s="144"/>
      <c r="H11" s="144"/>
      <c r="I11" s="144">
        <f>SimulTRU!I19</f>
        <v>67487.999999999985</v>
      </c>
      <c r="J11" s="144"/>
      <c r="K11" s="144">
        <f>F11-I11</f>
        <v>947172</v>
      </c>
      <c r="L11" s="144"/>
      <c r="M11" s="145"/>
      <c r="N11" s="139">
        <f>D11+F11+H11+J11+L11-M11-K11-I11-G11-E11</f>
        <v>1.4551915228366852E-11</v>
      </c>
    </row>
    <row r="12" spans="3:15">
      <c r="C12" s="134" t="s">
        <v>34</v>
      </c>
      <c r="D12" s="143"/>
      <c r="E12" s="144">
        <f>CEI!G25+CEI!F25</f>
        <v>-1235</v>
      </c>
      <c r="F12" s="144">
        <f>CEI!O25</f>
        <v>86391</v>
      </c>
      <c r="G12" s="144">
        <f>CEI!H25</f>
        <v>278</v>
      </c>
      <c r="H12" s="144"/>
      <c r="I12" s="144">
        <f>CEI!I25</f>
        <v>9262</v>
      </c>
      <c r="J12" s="144"/>
      <c r="K12" s="144">
        <f>CEI!J25</f>
        <v>78086</v>
      </c>
      <c r="L12" s="144"/>
      <c r="M12" s="145"/>
      <c r="N12" s="139">
        <f t="shared" ref="N12:N17" si="0">D12+F12+H12+J12+L12-M12-K12-I12-G12-E12</f>
        <v>0</v>
      </c>
    </row>
    <row r="13" spans="3:15">
      <c r="C13" s="133" t="str">
        <f>CEI!L29</f>
        <v xml:space="preserve">  Juros</v>
      </c>
      <c r="D13" s="143">
        <f>CEI!P29+CEI!Q29</f>
        <v>249546</v>
      </c>
      <c r="E13" s="144">
        <f>SUM(CEI!F29:G29)</f>
        <v>205143</v>
      </c>
      <c r="F13" s="144">
        <f>CEI!O29</f>
        <v>191053</v>
      </c>
      <c r="G13" s="144">
        <f>CEI!H29</f>
        <v>446981</v>
      </c>
      <c r="H13" s="144">
        <f>CEI!N29</f>
        <v>1235025</v>
      </c>
      <c r="I13" s="144">
        <f>CEI!I29</f>
        <v>1060460</v>
      </c>
      <c r="J13" s="144">
        <f>CEI!M29</f>
        <v>246213</v>
      </c>
      <c r="K13" s="144">
        <f>CEI!J29</f>
        <v>282899</v>
      </c>
      <c r="L13" s="144">
        <f>CEI!S29</f>
        <v>106219</v>
      </c>
      <c r="M13" s="145">
        <f>CEI!D29</f>
        <v>32573</v>
      </c>
      <c r="N13" s="139">
        <f>D13+F13+H13+J13+L13-M13-K13-I13-G13-E13</f>
        <v>0</v>
      </c>
    </row>
    <row r="14" spans="3:15">
      <c r="C14" s="133" t="str">
        <f>CEI!L30</f>
        <v xml:space="preserve"> Rendas distribuídas das empresas</v>
      </c>
      <c r="D14" s="143">
        <f>SUM(CEI!P30:Q32)</f>
        <v>580953</v>
      </c>
      <c r="E14" s="144">
        <f>SUM(CEI!F30:G36)</f>
        <v>657</v>
      </c>
      <c r="F14" s="144">
        <f>SUM(CEI!O30:O32)+CEI!O36</f>
        <v>77198</v>
      </c>
      <c r="G14" s="144">
        <v>0</v>
      </c>
      <c r="H14" s="144">
        <f>CEI!N30+CEI!N31+CEI!N32</f>
        <v>113478</v>
      </c>
      <c r="I14" s="144">
        <f>SUM(CEI!I30:I32)</f>
        <v>263487</v>
      </c>
      <c r="J14" s="144">
        <f>CEI!M30+CEI!M31+CEI!M32</f>
        <v>76697</v>
      </c>
      <c r="K14" s="144">
        <f>CEI!J30+CEI!J31+CEI!J36</f>
        <v>669888</v>
      </c>
      <c r="L14" s="144">
        <f>CEI!S30+CEI!S31+CEI!S32</f>
        <v>153572</v>
      </c>
      <c r="M14" s="145">
        <f>CEI!D30+CEI!D31</f>
        <v>67866</v>
      </c>
      <c r="N14" s="139">
        <f>D14+F14+H14+J14+L14-M14-K14-I14-G14-E14</f>
        <v>0</v>
      </c>
    </row>
    <row r="15" spans="3:15">
      <c r="C15" s="133" t="str">
        <f>CEI!L31</f>
        <v xml:space="preserve">  Lucros reinvestidos de investimento estrangeiro direto</v>
      </c>
      <c r="D15" s="143"/>
      <c r="E15" s="144"/>
      <c r="F15" s="144"/>
      <c r="G15" s="144"/>
      <c r="H15" s="144"/>
      <c r="I15" s="144"/>
      <c r="J15" s="144"/>
      <c r="K15" s="144"/>
      <c r="L15" s="144"/>
      <c r="M15" s="145"/>
      <c r="N15" s="139">
        <f t="shared" si="0"/>
        <v>0</v>
      </c>
    </row>
    <row r="16" spans="3:15">
      <c r="C16" s="133" t="str">
        <f>CEI!L32</f>
        <v xml:space="preserve">  Desembolsos por rendas de investimentos</v>
      </c>
      <c r="D16" s="143"/>
      <c r="E16" s="144"/>
      <c r="F16" s="144"/>
      <c r="G16" s="144"/>
      <c r="H16" s="144"/>
      <c r="I16" s="144"/>
      <c r="J16" s="144"/>
      <c r="K16" s="144"/>
      <c r="L16" s="144"/>
      <c r="M16" s="145"/>
      <c r="N16" s="139">
        <f t="shared" si="0"/>
        <v>0</v>
      </c>
    </row>
    <row r="17" spans="3:15">
      <c r="C17" s="133" t="str">
        <f>CEI!L33</f>
        <v xml:space="preserve">     Rendimento de investimentos atribuído a detentores de apólices de seguros</v>
      </c>
      <c r="D17" s="146"/>
      <c r="E17" s="147"/>
      <c r="F17" s="147"/>
      <c r="G17" s="147"/>
      <c r="H17" s="147"/>
      <c r="I17" s="147"/>
      <c r="J17" s="147"/>
      <c r="K17" s="147"/>
      <c r="L17" s="147"/>
      <c r="M17" s="148"/>
      <c r="N17" s="139">
        <f t="shared" si="0"/>
        <v>0</v>
      </c>
    </row>
    <row r="18" spans="3:15">
      <c r="C18" s="130" t="str">
        <f>CEI!L37</f>
        <v>Saldo das rendas primárias brutas/Renda nacional bruta (2)</v>
      </c>
      <c r="D18" s="362">
        <f>SUM(D7:D17)-SUM(E7:E17)</f>
        <v>5050046</v>
      </c>
      <c r="E18" s="363"/>
      <c r="F18" s="362">
        <f>SUM(F7:F17)-SUM(G7:G17)</f>
        <v>1039939</v>
      </c>
      <c r="G18" s="363"/>
      <c r="H18" s="362">
        <f>SUM(H7:H17)-SUM(I7:I17)</f>
        <v>285318</v>
      </c>
      <c r="I18" s="363"/>
      <c r="J18" s="362">
        <f>SUM(J7:J17)-SUM(K7:K17)</f>
        <v>1075535</v>
      </c>
      <c r="K18" s="363"/>
      <c r="L18" s="362">
        <f>SUM(L7:L17)-SUM(M7:M17)</f>
        <v>112719</v>
      </c>
      <c r="M18" s="363"/>
      <c r="N18" s="138">
        <f>SUM(D18:K18)</f>
        <v>7450838</v>
      </c>
      <c r="O18" s="139">
        <f>CEI!E37</f>
        <v>7450838</v>
      </c>
    </row>
    <row r="19" spans="3:15" ht="3.75" customHeight="1"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</row>
    <row r="20" spans="3:15">
      <c r="C20" s="128" t="s">
        <v>415</v>
      </c>
      <c r="D20" s="362">
        <f>CEI!F37+CEI!G37</f>
        <v>5050046</v>
      </c>
      <c r="E20" s="363"/>
      <c r="F20" s="363">
        <f>CEI!H37</f>
        <v>1039939</v>
      </c>
      <c r="G20" s="363"/>
      <c r="H20" s="363">
        <f>CEI!I37</f>
        <v>285318</v>
      </c>
      <c r="I20" s="363"/>
      <c r="J20" s="363">
        <f>CEI!J37</f>
        <v>1075535</v>
      </c>
      <c r="K20" s="363"/>
      <c r="L20" s="363"/>
      <c r="M20" s="363"/>
      <c r="N20" s="139">
        <f>SUM(D20:M20)</f>
        <v>7450838</v>
      </c>
    </row>
    <row r="21" spans="3:15">
      <c r="D21" s="149" t="s">
        <v>413</v>
      </c>
      <c r="E21" s="149" t="s">
        <v>414</v>
      </c>
      <c r="F21" s="149" t="s">
        <v>413</v>
      </c>
      <c r="G21" s="149" t="s">
        <v>414</v>
      </c>
      <c r="H21" s="149" t="s">
        <v>413</v>
      </c>
      <c r="I21" s="149" t="s">
        <v>414</v>
      </c>
      <c r="J21" s="149" t="s">
        <v>413</v>
      </c>
      <c r="K21" s="149" t="s">
        <v>414</v>
      </c>
      <c r="L21" s="149" t="s">
        <v>413</v>
      </c>
      <c r="M21" s="149" t="s">
        <v>414</v>
      </c>
      <c r="N21" s="139"/>
    </row>
    <row r="22" spans="3:15">
      <c r="C22" s="29" t="s">
        <v>48</v>
      </c>
      <c r="D22" s="139"/>
      <c r="E22" s="139">
        <f>SUM(CEI!F38:G38)</f>
        <v>286813</v>
      </c>
      <c r="F22" s="139">
        <f>CEI!O38</f>
        <v>625041</v>
      </c>
      <c r="G22" s="139">
        <f>CEI!H38</f>
        <v>365</v>
      </c>
      <c r="H22" s="139"/>
      <c r="I22" s="139">
        <f>CEI!I38</f>
        <v>42715</v>
      </c>
      <c r="J22" s="139"/>
      <c r="K22" s="139">
        <f>CEI!J38</f>
        <v>295148</v>
      </c>
      <c r="L22" s="139"/>
      <c r="M22" s="139"/>
      <c r="N22" s="139">
        <f t="shared" ref="N22:N37" si="1">D22+F22+H22+J22+L22-M22-K22-I22-G22-E22</f>
        <v>0</v>
      </c>
    </row>
    <row r="23" spans="3:15">
      <c r="C23" s="23" t="s">
        <v>50</v>
      </c>
      <c r="D23" s="139"/>
      <c r="E23" s="139">
        <f>CEI!G39+CEI!F39</f>
        <v>895266</v>
      </c>
      <c r="F23" s="139">
        <f>CEI!O39</f>
        <v>800730</v>
      </c>
      <c r="G23" s="139"/>
      <c r="H23" s="139">
        <f>CEI!N39</f>
        <v>94536</v>
      </c>
      <c r="I23" s="139"/>
      <c r="J23" s="139"/>
      <c r="K23" s="139"/>
      <c r="L23" s="139"/>
      <c r="M23" s="139"/>
      <c r="N23" s="139">
        <f t="shared" si="1"/>
        <v>0</v>
      </c>
    </row>
    <row r="24" spans="3:15">
      <c r="C24" s="23" t="s">
        <v>59</v>
      </c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>
        <f t="shared" si="1"/>
        <v>0</v>
      </c>
    </row>
    <row r="25" spans="3:15">
      <c r="C25" s="23" t="str">
        <f>CEI!L44</f>
        <v xml:space="preserve">  Benefícios de seguridade social em numerário </v>
      </c>
      <c r="D25" s="139">
        <f>CEI!P44+CEI!Q44</f>
        <v>742258</v>
      </c>
      <c r="E25" s="139"/>
      <c r="F25" s="139">
        <f>CEI!O44</f>
        <v>0</v>
      </c>
      <c r="G25" s="139">
        <f>CEI!H44</f>
        <v>742258</v>
      </c>
      <c r="H25" s="139"/>
      <c r="I25" s="139">
        <f>CEI!I44</f>
        <v>0</v>
      </c>
      <c r="J25" s="139"/>
      <c r="K25" s="139"/>
      <c r="L25" s="139"/>
      <c r="M25" s="139"/>
      <c r="N25" s="139"/>
    </row>
    <row r="26" spans="3:15">
      <c r="C26" s="23" t="str">
        <f>CEI!L45</f>
        <v xml:space="preserve">  Outros benefícios de seguro social</v>
      </c>
      <c r="D26" s="139">
        <f>CEI!P45+CEI!Q45</f>
        <v>670737</v>
      </c>
      <c r="E26" s="139"/>
      <c r="F26" s="139">
        <f>CEI!O45</f>
        <v>0</v>
      </c>
      <c r="G26" s="139">
        <f>CEI!H45</f>
        <v>595999</v>
      </c>
      <c r="H26" s="139"/>
      <c r="I26" s="139">
        <f>CEI!I45</f>
        <v>74738</v>
      </c>
      <c r="J26" s="139"/>
      <c r="K26" s="139"/>
      <c r="L26" s="139"/>
      <c r="M26" s="139"/>
      <c r="N26" s="139"/>
    </row>
    <row r="27" spans="3:15">
      <c r="C27" s="23" t="str">
        <f>CEI!L46</f>
        <v xml:space="preserve">  Benefícios de assistência social em numerário</v>
      </c>
      <c r="D27" s="139">
        <f>CEI!P46+CEI!Q46</f>
        <v>414614</v>
      </c>
      <c r="E27" s="139"/>
      <c r="F27" s="139">
        <f>CEI!O46</f>
        <v>0</v>
      </c>
      <c r="G27" s="139">
        <f>CEI!H46</f>
        <v>414614</v>
      </c>
      <c r="H27" s="139"/>
      <c r="I27" s="139">
        <f>CEI!I46</f>
        <v>0</v>
      </c>
      <c r="J27" s="139"/>
      <c r="K27" s="139"/>
      <c r="L27" s="139"/>
      <c r="M27" s="139"/>
      <c r="N27" s="139"/>
    </row>
    <row r="28" spans="3:15">
      <c r="C28" s="23" t="s">
        <v>65</v>
      </c>
      <c r="D28" s="139">
        <f>CEI!P47+CEI!Q47</f>
        <v>153554</v>
      </c>
      <c r="E28" s="139">
        <f>CEI!G47+CEI!F47</f>
        <v>112621</v>
      </c>
      <c r="F28" s="139">
        <f>CEI!O47</f>
        <v>881244</v>
      </c>
      <c r="G28" s="139">
        <f>CEI!H47</f>
        <v>844896</v>
      </c>
      <c r="H28" s="139">
        <f>CEI!N47</f>
        <v>67100</v>
      </c>
      <c r="I28" s="139">
        <f>CEI!I47</f>
        <v>80387</v>
      </c>
      <c r="J28" s="139">
        <f>CEI!M47</f>
        <v>41947</v>
      </c>
      <c r="K28" s="139">
        <f>CEI!J47</f>
        <v>95043</v>
      </c>
      <c r="L28" s="139">
        <f>CEI!S47</f>
        <v>15517</v>
      </c>
      <c r="M28" s="139">
        <f>CEI!D47</f>
        <v>26415</v>
      </c>
      <c r="N28" s="139">
        <f t="shared" si="1"/>
        <v>0</v>
      </c>
    </row>
    <row r="29" spans="3:15">
      <c r="C29" s="46" t="s">
        <v>403</v>
      </c>
      <c r="D29" s="362">
        <f>D18+SUM(D22:D28)-SUM(E22:E28)</f>
        <v>5736509</v>
      </c>
      <c r="E29" s="363"/>
      <c r="F29" s="362">
        <f>F18+SUM(F22:F28)-SUM(G22:G28)</f>
        <v>748822</v>
      </c>
      <c r="G29" s="363"/>
      <c r="H29" s="362">
        <f>H18+SUM(H22:H28)-SUM(I22:I28)</f>
        <v>249114</v>
      </c>
      <c r="I29" s="363"/>
      <c r="J29" s="362">
        <f>J18+SUM(J22:J28)-SUM(K22:K28)</f>
        <v>727291</v>
      </c>
      <c r="K29" s="363"/>
      <c r="L29" s="362">
        <f>L18+SUM(L22:L28)-SUM(M22:M28)</f>
        <v>101821</v>
      </c>
      <c r="M29" s="363"/>
      <c r="N29" s="139">
        <f t="shared" si="1"/>
        <v>7563557</v>
      </c>
    </row>
    <row r="30" spans="3:15">
      <c r="C30" s="128" t="s">
        <v>415</v>
      </c>
      <c r="D30" s="362">
        <f>CEI!F53+CEI!G53</f>
        <v>5736509</v>
      </c>
      <c r="E30" s="363"/>
      <c r="F30" s="363">
        <f>CEI!H53</f>
        <v>748822</v>
      </c>
      <c r="G30" s="363"/>
      <c r="H30" s="363">
        <f>CEI!I53</f>
        <v>249114</v>
      </c>
      <c r="I30" s="363"/>
      <c r="J30" s="363">
        <f>CEI!J53</f>
        <v>727291</v>
      </c>
      <c r="K30" s="363"/>
      <c r="L30" s="363">
        <f>CEI!D61</f>
        <v>101821</v>
      </c>
      <c r="M30" s="363"/>
      <c r="N30" s="139">
        <f t="shared" si="1"/>
        <v>7563557</v>
      </c>
    </row>
    <row r="31" spans="3:15">
      <c r="C31" s="46"/>
      <c r="D31" s="149" t="s">
        <v>413</v>
      </c>
      <c r="E31" s="149" t="s">
        <v>414</v>
      </c>
      <c r="F31" s="149" t="s">
        <v>413</v>
      </c>
      <c r="G31" s="149" t="s">
        <v>414</v>
      </c>
      <c r="H31" s="149" t="s">
        <v>413</v>
      </c>
      <c r="I31" s="149" t="s">
        <v>414</v>
      </c>
      <c r="J31" s="149" t="s">
        <v>413</v>
      </c>
      <c r="K31" s="149" t="s">
        <v>414</v>
      </c>
      <c r="L31" s="149" t="s">
        <v>413</v>
      </c>
      <c r="M31" s="149" t="s">
        <v>414</v>
      </c>
      <c r="N31" s="139"/>
    </row>
    <row r="32" spans="3:15">
      <c r="C32" s="23" t="s">
        <v>79</v>
      </c>
      <c r="D32" s="139"/>
      <c r="E32" s="139">
        <f>CEI!G58+CEI!F58</f>
        <v>4805004</v>
      </c>
      <c r="F32" s="139"/>
      <c r="G32" s="139">
        <f>CEI!H58</f>
        <v>1532204</v>
      </c>
      <c r="H32" s="139"/>
      <c r="I32" s="139"/>
      <c r="J32" s="139"/>
      <c r="K32" s="139"/>
      <c r="L32" s="139"/>
      <c r="M32" s="139"/>
      <c r="N32" s="139">
        <f t="shared" si="1"/>
        <v>-6337208</v>
      </c>
    </row>
    <row r="33" spans="3:16">
      <c r="C33" s="23" t="s">
        <v>404</v>
      </c>
      <c r="D33" s="139">
        <f>CEI!P59</f>
        <v>47061</v>
      </c>
      <c r="E33" s="139"/>
      <c r="F33" s="139"/>
      <c r="G33" s="139">
        <f>CEI!H59</f>
        <v>28647</v>
      </c>
      <c r="H33" s="139"/>
      <c r="I33" s="139">
        <f>CEI!I59</f>
        <v>18414</v>
      </c>
      <c r="J33" s="139"/>
      <c r="K33" s="139"/>
      <c r="L33" s="139"/>
      <c r="M33" s="139"/>
      <c r="N33" s="139">
        <f t="shared" si="1"/>
        <v>0</v>
      </c>
    </row>
    <row r="34" spans="3:16">
      <c r="C34" s="46" t="s">
        <v>84</v>
      </c>
      <c r="D34" s="362">
        <f>D29+SUM(D32:D33)-SUM(E32:E33)</f>
        <v>978566</v>
      </c>
      <c r="E34" s="363"/>
      <c r="F34" s="362">
        <f>F29+SUM(F32:F33)-SUM(G32:G33)</f>
        <v>-812029</v>
      </c>
      <c r="G34" s="363"/>
      <c r="H34" s="362">
        <f>H29+SUM(H32:H33)-SUM(I32:I33)</f>
        <v>230700</v>
      </c>
      <c r="I34" s="363"/>
      <c r="J34" s="362">
        <f>J29+SUM(J32:J33)-SUM(K32:K33)</f>
        <v>727291</v>
      </c>
      <c r="K34" s="363"/>
      <c r="L34" s="362">
        <f>L29+SUM(L32:L33)-SUM(M32:M33)</f>
        <v>101821</v>
      </c>
      <c r="M34" s="363"/>
      <c r="N34" s="139">
        <f>D34+F34+H34+J34+L34-M34-K34-I34-G34-E34</f>
        <v>1226349</v>
      </c>
    </row>
    <row r="35" spans="3:16">
      <c r="C35" s="46"/>
      <c r="D35" s="149" t="s">
        <v>413</v>
      </c>
      <c r="E35" s="149" t="s">
        <v>414</v>
      </c>
      <c r="F35" s="149" t="s">
        <v>413</v>
      </c>
      <c r="G35" s="149" t="s">
        <v>414</v>
      </c>
      <c r="H35" s="149" t="s">
        <v>413</v>
      </c>
      <c r="I35" s="149" t="s">
        <v>414</v>
      </c>
      <c r="J35" s="149" t="s">
        <v>413</v>
      </c>
      <c r="K35" s="149" t="s">
        <v>414</v>
      </c>
      <c r="L35" s="149" t="s">
        <v>413</v>
      </c>
      <c r="M35" s="149" t="s">
        <v>414</v>
      </c>
      <c r="N35" s="139"/>
    </row>
    <row r="36" spans="3:16">
      <c r="C36" s="23" t="s">
        <v>87</v>
      </c>
      <c r="D36" s="139"/>
      <c r="E36" s="139">
        <f>CEI!F66+CEI!G66</f>
        <v>410010</v>
      </c>
      <c r="F36" s="139"/>
      <c r="G36" s="139">
        <f>CEI!H66</f>
        <v>139686</v>
      </c>
      <c r="H36" s="139"/>
      <c r="I36" s="139">
        <f>CEI!I66</f>
        <v>13718</v>
      </c>
      <c r="J36" s="139"/>
      <c r="K36" s="139">
        <f>CEI!J66</f>
        <v>696813</v>
      </c>
      <c r="L36" s="139"/>
      <c r="M36" s="139"/>
      <c r="N36" s="139">
        <f t="shared" si="1"/>
        <v>-1260227</v>
      </c>
    </row>
    <row r="37" spans="3:16">
      <c r="C37" s="23" t="s">
        <v>89</v>
      </c>
      <c r="D37" s="139"/>
      <c r="E37" s="139"/>
      <c r="F37" s="139"/>
      <c r="G37" s="139"/>
      <c r="H37" s="139"/>
      <c r="I37" s="139"/>
      <c r="J37" s="139"/>
      <c r="K37" s="139">
        <f>CEI!J67</f>
        <v>-33878</v>
      </c>
      <c r="L37" s="139"/>
      <c r="M37" s="139"/>
      <c r="N37" s="139">
        <f t="shared" si="1"/>
        <v>33878</v>
      </c>
    </row>
    <row r="38" spans="3:16">
      <c r="C38" s="23" t="s">
        <v>416</v>
      </c>
      <c r="D38" s="139">
        <f>SUM(CEI!P68:Q70)</f>
        <v>-6284</v>
      </c>
      <c r="E38" s="139">
        <f>SUM(CEI!F68:G70)</f>
        <v>0</v>
      </c>
      <c r="F38" s="139">
        <f>SUM(CEI!O68:O70)</f>
        <v>27118</v>
      </c>
      <c r="G38" s="139">
        <f>SUM(CEI!H68:H70)</f>
        <v>-6588</v>
      </c>
      <c r="H38" s="139">
        <f>SUM(CEI!N68:N71)</f>
        <v>-65</v>
      </c>
      <c r="I38" s="139">
        <f>SUM(CEI!I68:I70)</f>
        <v>0</v>
      </c>
      <c r="J38" s="139">
        <f>SUM(CEI!M68:M70)</f>
        <v>-208</v>
      </c>
      <c r="K38" s="139">
        <f>SUM(CEI!J68:J70)</f>
        <v>5866</v>
      </c>
      <c r="L38" s="139">
        <f>SUM(CEI!S68:S71)</f>
        <v>-20561</v>
      </c>
      <c r="M38" s="139">
        <f>SUM(CEI!D68:D70)</f>
        <v>722</v>
      </c>
      <c r="N38" s="139">
        <f>D38+F38+H38+J38+L38-M38-K38-I38-G38-E38</f>
        <v>0</v>
      </c>
    </row>
    <row r="39" spans="3:16">
      <c r="C39" s="46" t="s">
        <v>189</v>
      </c>
      <c r="D39" s="362">
        <f>D34+SUM(D36:D38)-SUM(E36:E38)</f>
        <v>562272</v>
      </c>
      <c r="E39" s="363"/>
      <c r="F39" s="362">
        <f>F34+SUM(F36:F38)-SUM(G36:G38)</f>
        <v>-918009</v>
      </c>
      <c r="G39" s="363"/>
      <c r="H39" s="362">
        <f>H34+SUM(H36:H38)-SUM(I36:I38)</f>
        <v>216917</v>
      </c>
      <c r="I39" s="363"/>
      <c r="J39" s="362">
        <f>J34+SUM(J36:J38)-SUM(K36:K38)</f>
        <v>58282</v>
      </c>
      <c r="K39" s="363"/>
      <c r="L39" s="362">
        <f>L34+SUM(L36:L38)-SUM(M36:M38)</f>
        <v>80538</v>
      </c>
      <c r="M39" s="363"/>
      <c r="N39" s="139">
        <f>D39+F39+H39+J39+L39-M39-K39-I39-G39-E39</f>
        <v>0</v>
      </c>
    </row>
    <row r="40" spans="3:16">
      <c r="C40" s="128" t="s">
        <v>415</v>
      </c>
      <c r="D40" s="362">
        <f>CEI!F71+CEI!G71</f>
        <v>562272</v>
      </c>
      <c r="E40" s="363"/>
      <c r="F40" s="363">
        <f>CEI!H71</f>
        <v>-918009</v>
      </c>
      <c r="G40" s="363"/>
      <c r="H40" s="363">
        <f>CEI!I71</f>
        <v>216917</v>
      </c>
      <c r="I40" s="363"/>
      <c r="J40" s="363">
        <f>CEI!J71</f>
        <v>58282</v>
      </c>
      <c r="K40" s="363"/>
      <c r="L40" s="363">
        <f>CEI!D71</f>
        <v>80538</v>
      </c>
      <c r="M40" s="363"/>
      <c r="N40" s="139">
        <f>SUM(D40:M40)</f>
        <v>0</v>
      </c>
    </row>
    <row r="42" spans="3:16">
      <c r="D42" s="313" t="s">
        <v>2</v>
      </c>
      <c r="E42" s="314"/>
      <c r="F42" s="313" t="s">
        <v>293</v>
      </c>
      <c r="G42" s="314"/>
      <c r="H42" s="313" t="s">
        <v>266</v>
      </c>
      <c r="I42" s="314"/>
      <c r="J42" s="313" t="s">
        <v>265</v>
      </c>
      <c r="K42" s="314"/>
      <c r="L42" s="313" t="s">
        <v>412</v>
      </c>
      <c r="M42" s="314"/>
    </row>
    <row r="43" spans="3:16">
      <c r="D43" s="315"/>
      <c r="E43" s="316"/>
      <c r="F43" s="315"/>
      <c r="G43" s="316"/>
      <c r="H43" s="315"/>
      <c r="I43" s="316"/>
      <c r="J43" s="315"/>
      <c r="K43" s="316"/>
      <c r="L43" s="315"/>
      <c r="M43" s="316"/>
    </row>
    <row r="44" spans="3:16">
      <c r="D44" s="315"/>
      <c r="E44" s="316"/>
      <c r="F44" s="315"/>
      <c r="G44" s="316"/>
      <c r="H44" s="315"/>
      <c r="I44" s="316"/>
      <c r="J44" s="315"/>
      <c r="K44" s="316"/>
      <c r="L44" s="315"/>
      <c r="M44" s="316"/>
    </row>
    <row r="45" spans="3:16">
      <c r="D45" s="315"/>
      <c r="E45" s="316"/>
      <c r="F45" s="315"/>
      <c r="G45" s="316"/>
      <c r="H45" s="315"/>
      <c r="I45" s="316"/>
      <c r="J45" s="315"/>
      <c r="K45" s="316"/>
      <c r="L45" s="315"/>
      <c r="M45" s="316"/>
    </row>
    <row r="46" spans="3:16" ht="16.5">
      <c r="D46" s="136" t="s">
        <v>413</v>
      </c>
      <c r="E46" s="136" t="s">
        <v>414</v>
      </c>
      <c r="F46" s="136" t="s">
        <v>413</v>
      </c>
      <c r="G46" s="136" t="s">
        <v>414</v>
      </c>
      <c r="H46" s="136" t="s">
        <v>413</v>
      </c>
      <c r="I46" s="136" t="s">
        <v>414</v>
      </c>
      <c r="J46" s="136" t="s">
        <v>413</v>
      </c>
      <c r="K46" s="136" t="s">
        <v>414</v>
      </c>
      <c r="L46" s="136" t="s">
        <v>413</v>
      </c>
      <c r="M46" s="136" t="s">
        <v>414</v>
      </c>
      <c r="O46" s="230" t="s">
        <v>540</v>
      </c>
      <c r="P46" s="230" t="s">
        <v>541</v>
      </c>
    </row>
    <row r="47" spans="3:16">
      <c r="C47" s="131" t="s">
        <v>98</v>
      </c>
      <c r="D47" s="151">
        <f>D7</f>
        <v>1415200</v>
      </c>
      <c r="E47" s="151">
        <f t="shared" ref="E47:M47" si="2">E7</f>
        <v>0</v>
      </c>
      <c r="F47" s="151">
        <f t="shared" si="2"/>
        <v>1146900</v>
      </c>
      <c r="G47" s="151">
        <f t="shared" si="2"/>
        <v>0</v>
      </c>
      <c r="H47" s="151">
        <f t="shared" si="2"/>
        <v>518661</v>
      </c>
      <c r="I47" s="151">
        <f t="shared" si="2"/>
        <v>0</v>
      </c>
      <c r="J47" s="151">
        <f>J7</f>
        <v>4528836</v>
      </c>
      <c r="K47" s="151">
        <f t="shared" si="2"/>
        <v>0</v>
      </c>
      <c r="L47" s="151">
        <f t="shared" si="2"/>
        <v>1206009</v>
      </c>
      <c r="M47" s="151">
        <f t="shared" si="2"/>
        <v>1252049</v>
      </c>
      <c r="N47" s="151">
        <f>D47+F47+H47+J47+L47-M47-K47-I47-G47-E47</f>
        <v>7563557</v>
      </c>
      <c r="O47" s="158">
        <f>H47+J47+D47+F47</f>
        <v>7609597</v>
      </c>
      <c r="P47" s="158">
        <f>O47-K51</f>
        <v>6662425</v>
      </c>
    </row>
    <row r="48" spans="3:16">
      <c r="C48" s="132" t="s">
        <v>389</v>
      </c>
      <c r="D48" s="152">
        <f t="shared" ref="D48:M48" si="3">D8</f>
        <v>2532554</v>
      </c>
      <c r="E48" s="153">
        <f t="shared" si="3"/>
        <v>171995</v>
      </c>
      <c r="F48" s="153">
        <f t="shared" si="3"/>
        <v>0</v>
      </c>
      <c r="G48" s="153">
        <f t="shared" si="3"/>
        <v>780730</v>
      </c>
      <c r="H48" s="153">
        <f t="shared" si="3"/>
        <v>0</v>
      </c>
      <c r="I48" s="153">
        <f t="shared" si="3"/>
        <v>140138</v>
      </c>
      <c r="J48" s="153">
        <f t="shared" si="3"/>
        <v>0</v>
      </c>
      <c r="K48" s="153">
        <f t="shared" si="3"/>
        <v>1439098</v>
      </c>
      <c r="L48" s="153">
        <f t="shared" si="3"/>
        <v>708</v>
      </c>
      <c r="M48" s="154">
        <f t="shared" si="3"/>
        <v>1301</v>
      </c>
      <c r="N48" s="151">
        <f>D48+F48+H48+J48+L48-M48-K48-I48-G48-E48</f>
        <v>0</v>
      </c>
    </row>
    <row r="49" spans="3:14">
      <c r="C49" s="133" t="str">
        <f>C9</f>
        <v xml:space="preserve">    Contribuições sociais efetivas</v>
      </c>
      <c r="D49" s="155">
        <f>D9</f>
        <v>562617</v>
      </c>
      <c r="E49" s="156">
        <f t="shared" ref="E49:M50" si="4">E9</f>
        <v>12029</v>
      </c>
      <c r="F49" s="156">
        <f t="shared" si="4"/>
        <v>0</v>
      </c>
      <c r="G49" s="156">
        <f t="shared" si="4"/>
        <v>150509</v>
      </c>
      <c r="H49" s="156">
        <f t="shared" si="4"/>
        <v>0</v>
      </c>
      <c r="I49" s="156">
        <f>I9</f>
        <v>41011</v>
      </c>
      <c r="J49" s="156">
        <f t="shared" si="4"/>
        <v>0</v>
      </c>
      <c r="K49" s="156">
        <f t="shared" si="4"/>
        <v>359068</v>
      </c>
      <c r="L49" s="156">
        <f t="shared" si="4"/>
        <v>0</v>
      </c>
      <c r="M49" s="157">
        <f t="shared" si="4"/>
        <v>0</v>
      </c>
      <c r="N49" s="151">
        <f>D49+F49+H49+J49+L49-M49-K49-I49-G49-E49</f>
        <v>0</v>
      </c>
    </row>
    <row r="50" spans="3:14">
      <c r="C50" s="133" t="s">
        <v>542</v>
      </c>
      <c r="D50" s="155">
        <f>D10</f>
        <v>97765</v>
      </c>
      <c r="E50" s="156">
        <f t="shared" si="4"/>
        <v>0</v>
      </c>
      <c r="F50" s="156">
        <f t="shared" si="4"/>
        <v>0</v>
      </c>
      <c r="G50" s="156">
        <f t="shared" si="4"/>
        <v>97765</v>
      </c>
      <c r="H50" s="156">
        <f t="shared" si="4"/>
        <v>0</v>
      </c>
      <c r="I50" s="156">
        <f t="shared" si="4"/>
        <v>0</v>
      </c>
      <c r="J50" s="156">
        <f t="shared" si="4"/>
        <v>0</v>
      </c>
      <c r="K50" s="156">
        <f t="shared" si="4"/>
        <v>0</v>
      </c>
      <c r="L50" s="156">
        <f t="shared" si="4"/>
        <v>0</v>
      </c>
      <c r="M50" s="157">
        <f t="shared" si="4"/>
        <v>0</v>
      </c>
      <c r="N50" s="151"/>
    </row>
    <row r="51" spans="3:14">
      <c r="C51" s="134" t="s">
        <v>19</v>
      </c>
      <c r="D51" s="155">
        <f t="shared" ref="D51:M52" si="5">D11</f>
        <v>0</v>
      </c>
      <c r="E51" s="156">
        <f t="shared" si="5"/>
        <v>0</v>
      </c>
      <c r="F51" s="156">
        <f t="shared" si="5"/>
        <v>1014660</v>
      </c>
      <c r="G51" s="156">
        <f t="shared" si="5"/>
        <v>0</v>
      </c>
      <c r="H51" s="156">
        <f t="shared" si="5"/>
        <v>0</v>
      </c>
      <c r="I51" s="156">
        <f t="shared" si="5"/>
        <v>67487.999999999985</v>
      </c>
      <c r="J51" s="156">
        <f t="shared" si="5"/>
        <v>0</v>
      </c>
      <c r="K51" s="156">
        <f t="shared" si="5"/>
        <v>947172</v>
      </c>
      <c r="L51" s="156">
        <f t="shared" si="5"/>
        <v>0</v>
      </c>
      <c r="M51" s="157">
        <f t="shared" si="5"/>
        <v>0</v>
      </c>
      <c r="N51" s="151">
        <f>D51+F51+H51+J51+L51-M51-K51-I51-G51-E51</f>
        <v>1.4551915228366852E-11</v>
      </c>
    </row>
    <row r="52" spans="3:14">
      <c r="C52" s="134" t="s">
        <v>34</v>
      </c>
      <c r="D52" s="155">
        <f t="shared" ref="D52:M52" si="6">D12</f>
        <v>0</v>
      </c>
      <c r="E52" s="156">
        <f t="shared" si="6"/>
        <v>-1235</v>
      </c>
      <c r="F52" s="156">
        <f t="shared" si="6"/>
        <v>86391</v>
      </c>
      <c r="G52" s="156">
        <f t="shared" si="5"/>
        <v>278</v>
      </c>
      <c r="H52" s="156">
        <f t="shared" si="6"/>
        <v>0</v>
      </c>
      <c r="I52" s="156">
        <f t="shared" si="6"/>
        <v>9262</v>
      </c>
      <c r="J52" s="156">
        <f t="shared" si="6"/>
        <v>0</v>
      </c>
      <c r="K52" s="156">
        <f t="shared" si="6"/>
        <v>78086</v>
      </c>
      <c r="L52" s="156">
        <f t="shared" si="6"/>
        <v>0</v>
      </c>
      <c r="M52" s="157">
        <f t="shared" si="6"/>
        <v>0</v>
      </c>
      <c r="N52" s="151">
        <f>D52+F52+H52+J52+L52-M52-K52-I52-G52-E52</f>
        <v>0</v>
      </c>
    </row>
    <row r="53" spans="3:14">
      <c r="C53" s="133" t="s">
        <v>40</v>
      </c>
      <c r="D53" s="155">
        <f t="shared" ref="D53:M53" si="7">D13</f>
        <v>249546</v>
      </c>
      <c r="E53" s="156">
        <f t="shared" si="7"/>
        <v>205143</v>
      </c>
      <c r="F53" s="156">
        <f>F13</f>
        <v>191053</v>
      </c>
      <c r="G53" s="156">
        <f t="shared" si="7"/>
        <v>446981</v>
      </c>
      <c r="H53" s="156">
        <f t="shared" si="7"/>
        <v>1235025</v>
      </c>
      <c r="I53" s="156">
        <f t="shared" si="7"/>
        <v>1060460</v>
      </c>
      <c r="J53" s="156">
        <f t="shared" si="7"/>
        <v>246213</v>
      </c>
      <c r="K53" s="156">
        <f t="shared" si="7"/>
        <v>282899</v>
      </c>
      <c r="L53" s="156">
        <f t="shared" si="7"/>
        <v>106219</v>
      </c>
      <c r="M53" s="157">
        <f t="shared" si="7"/>
        <v>32573</v>
      </c>
      <c r="N53" s="151">
        <f>D53+F53+H53+J53+L53-M53-K53-I53-G53-E53</f>
        <v>0</v>
      </c>
    </row>
    <row r="54" spans="3:14">
      <c r="C54" s="133" t="s">
        <v>408</v>
      </c>
      <c r="D54" s="155">
        <f>D14</f>
        <v>580953</v>
      </c>
      <c r="E54" s="156">
        <f t="shared" ref="D54:M54" si="8">E14</f>
        <v>657</v>
      </c>
      <c r="F54" s="156">
        <f t="shared" si="8"/>
        <v>77198</v>
      </c>
      <c r="G54" s="156">
        <f t="shared" si="8"/>
        <v>0</v>
      </c>
      <c r="H54" s="156">
        <f t="shared" si="8"/>
        <v>113478</v>
      </c>
      <c r="I54" s="156">
        <f t="shared" si="8"/>
        <v>263487</v>
      </c>
      <c r="J54" s="156">
        <f>J14</f>
        <v>76697</v>
      </c>
      <c r="K54" s="156">
        <f>K14</f>
        <v>669888</v>
      </c>
      <c r="L54" s="156">
        <f t="shared" si="8"/>
        <v>153572</v>
      </c>
      <c r="M54" s="157">
        <f t="shared" si="8"/>
        <v>67866</v>
      </c>
      <c r="N54" s="151">
        <f>D54+F54+H54+J54+L54-M54-K54-I54-G54-E54</f>
        <v>0</v>
      </c>
    </row>
    <row r="55" spans="3:14">
      <c r="C55" s="133" t="s">
        <v>392</v>
      </c>
      <c r="D55" s="155">
        <f t="shared" ref="D55:M55" si="9">D15</f>
        <v>0</v>
      </c>
      <c r="E55" s="156">
        <f t="shared" si="9"/>
        <v>0</v>
      </c>
      <c r="F55" s="156">
        <f t="shared" si="9"/>
        <v>0</v>
      </c>
      <c r="G55" s="156">
        <f t="shared" si="9"/>
        <v>0</v>
      </c>
      <c r="H55" s="156">
        <f t="shared" si="9"/>
        <v>0</v>
      </c>
      <c r="I55" s="156">
        <f t="shared" si="9"/>
        <v>0</v>
      </c>
      <c r="J55" s="156">
        <f t="shared" si="9"/>
        <v>0</v>
      </c>
      <c r="K55" s="156">
        <f t="shared" si="9"/>
        <v>0</v>
      </c>
      <c r="L55" s="156">
        <f t="shared" si="9"/>
        <v>0</v>
      </c>
      <c r="M55" s="157">
        <f t="shared" si="9"/>
        <v>0</v>
      </c>
      <c r="N55" s="151">
        <f t="shared" ref="N55:N68" si="10">D55+F55+H55+J55+L55-M55-K55-I55-G55-E55</f>
        <v>0</v>
      </c>
    </row>
    <row r="56" spans="3:14">
      <c r="C56" s="133" t="s">
        <v>401</v>
      </c>
      <c r="D56" s="155">
        <f t="shared" ref="D56:M56" si="11">D16</f>
        <v>0</v>
      </c>
      <c r="E56" s="156">
        <f t="shared" si="11"/>
        <v>0</v>
      </c>
      <c r="F56" s="156">
        <f t="shared" si="11"/>
        <v>0</v>
      </c>
      <c r="G56" s="156">
        <f t="shared" si="11"/>
        <v>0</v>
      </c>
      <c r="H56" s="156">
        <f t="shared" si="11"/>
        <v>0</v>
      </c>
      <c r="I56" s="156">
        <f t="shared" si="11"/>
        <v>0</v>
      </c>
      <c r="J56" s="156">
        <f t="shared" si="11"/>
        <v>0</v>
      </c>
      <c r="K56" s="156">
        <f t="shared" si="11"/>
        <v>0</v>
      </c>
      <c r="L56" s="156">
        <f t="shared" si="11"/>
        <v>0</v>
      </c>
      <c r="M56" s="157">
        <f t="shared" si="11"/>
        <v>0</v>
      </c>
      <c r="N56" s="151">
        <f t="shared" si="10"/>
        <v>0</v>
      </c>
    </row>
    <row r="57" spans="3:14">
      <c r="C57" s="133" t="s">
        <v>288</v>
      </c>
      <c r="D57" s="155">
        <f t="shared" ref="D57:M57" si="12">D17</f>
        <v>0</v>
      </c>
      <c r="E57" s="156">
        <f t="shared" si="12"/>
        <v>0</v>
      </c>
      <c r="F57" s="156">
        <f t="shared" si="12"/>
        <v>0</v>
      </c>
      <c r="G57" s="156">
        <f t="shared" si="12"/>
        <v>0</v>
      </c>
      <c r="H57" s="156">
        <f t="shared" si="12"/>
        <v>0</v>
      </c>
      <c r="I57" s="156">
        <f t="shared" si="12"/>
        <v>0</v>
      </c>
      <c r="J57" s="156">
        <f t="shared" si="12"/>
        <v>0</v>
      </c>
      <c r="K57" s="156">
        <f t="shared" si="12"/>
        <v>0</v>
      </c>
      <c r="L57" s="156">
        <f t="shared" si="12"/>
        <v>0</v>
      </c>
      <c r="M57" s="157">
        <f t="shared" si="12"/>
        <v>0</v>
      </c>
      <c r="N57" s="151">
        <f t="shared" si="10"/>
        <v>0</v>
      </c>
    </row>
    <row r="58" spans="3:14">
      <c r="C58" s="159" t="s">
        <v>48</v>
      </c>
      <c r="D58" s="155">
        <f t="shared" ref="D58:M58" si="13">D22</f>
        <v>0</v>
      </c>
      <c r="E58" s="156">
        <f t="shared" si="13"/>
        <v>286813</v>
      </c>
      <c r="F58" s="156">
        <f t="shared" si="13"/>
        <v>625041</v>
      </c>
      <c r="G58" s="156">
        <f t="shared" si="13"/>
        <v>365</v>
      </c>
      <c r="H58" s="156">
        <f t="shared" si="13"/>
        <v>0</v>
      </c>
      <c r="I58" s="156">
        <f t="shared" si="13"/>
        <v>42715</v>
      </c>
      <c r="J58" s="156">
        <f t="shared" si="13"/>
        <v>0</v>
      </c>
      <c r="K58" s="156">
        <f t="shared" si="13"/>
        <v>295148</v>
      </c>
      <c r="L58" s="156">
        <f t="shared" si="13"/>
        <v>0</v>
      </c>
      <c r="M58" s="157">
        <f t="shared" si="13"/>
        <v>0</v>
      </c>
      <c r="N58" s="151">
        <f t="shared" si="10"/>
        <v>0</v>
      </c>
    </row>
    <row r="59" spans="3:14">
      <c r="C59" s="134" t="s">
        <v>50</v>
      </c>
      <c r="D59" s="155">
        <f t="shared" ref="D59:M59" si="14">D23</f>
        <v>0</v>
      </c>
      <c r="E59" s="156">
        <f>E23</f>
        <v>895266</v>
      </c>
      <c r="F59" s="156">
        <f t="shared" si="14"/>
        <v>800730</v>
      </c>
      <c r="G59" s="156">
        <f t="shared" si="14"/>
        <v>0</v>
      </c>
      <c r="H59" s="156">
        <f t="shared" si="14"/>
        <v>94536</v>
      </c>
      <c r="I59" s="156">
        <f t="shared" si="14"/>
        <v>0</v>
      </c>
      <c r="J59" s="156">
        <f t="shared" si="14"/>
        <v>0</v>
      </c>
      <c r="K59" s="156">
        <f t="shared" si="14"/>
        <v>0</v>
      </c>
      <c r="L59" s="156">
        <f t="shared" si="14"/>
        <v>0</v>
      </c>
      <c r="M59" s="157">
        <f t="shared" si="14"/>
        <v>0</v>
      </c>
      <c r="N59" s="151">
        <f t="shared" si="10"/>
        <v>0</v>
      </c>
    </row>
    <row r="60" spans="3:14" ht="16.5">
      <c r="C60" s="134" t="s">
        <v>455</v>
      </c>
      <c r="D60" s="155">
        <f>D25+D27</f>
        <v>1156872</v>
      </c>
      <c r="E60" s="156">
        <f t="shared" ref="E60:M60" si="15">E25+E27</f>
        <v>0</v>
      </c>
      <c r="F60" s="156">
        <f t="shared" si="15"/>
        <v>0</v>
      </c>
      <c r="G60" s="156">
        <f t="shared" si="15"/>
        <v>1156872</v>
      </c>
      <c r="H60" s="156">
        <f t="shared" si="15"/>
        <v>0</v>
      </c>
      <c r="I60" s="156">
        <f t="shared" si="15"/>
        <v>0</v>
      </c>
      <c r="J60" s="156">
        <f t="shared" si="15"/>
        <v>0</v>
      </c>
      <c r="K60" s="156">
        <f t="shared" si="15"/>
        <v>0</v>
      </c>
      <c r="L60" s="156">
        <f t="shared" si="15"/>
        <v>0</v>
      </c>
      <c r="M60" s="157">
        <f t="shared" si="15"/>
        <v>0</v>
      </c>
      <c r="N60" s="151">
        <f t="shared" si="10"/>
        <v>0</v>
      </c>
    </row>
    <row r="61" spans="3:14">
      <c r="C61" s="134" t="s">
        <v>456</v>
      </c>
      <c r="D61" s="155">
        <f>D26</f>
        <v>670737</v>
      </c>
      <c r="E61" s="156">
        <f t="shared" ref="E61:M61" si="16">E26</f>
        <v>0</v>
      </c>
      <c r="F61" s="156">
        <f t="shared" si="16"/>
        <v>0</v>
      </c>
      <c r="G61" s="156">
        <f t="shared" si="16"/>
        <v>595999</v>
      </c>
      <c r="H61" s="156">
        <f t="shared" si="16"/>
        <v>0</v>
      </c>
      <c r="I61" s="156">
        <f t="shared" si="16"/>
        <v>74738</v>
      </c>
      <c r="J61" s="156">
        <f t="shared" si="16"/>
        <v>0</v>
      </c>
      <c r="K61" s="156">
        <f t="shared" si="16"/>
        <v>0</v>
      </c>
      <c r="L61" s="156">
        <f t="shared" si="16"/>
        <v>0</v>
      </c>
      <c r="M61" s="157">
        <f t="shared" si="16"/>
        <v>0</v>
      </c>
      <c r="N61" s="151">
        <f t="shared" si="10"/>
        <v>0</v>
      </c>
    </row>
    <row r="62" spans="3:14">
      <c r="C62" s="134" t="s">
        <v>65</v>
      </c>
      <c r="D62" s="155">
        <f>D28</f>
        <v>153554</v>
      </c>
      <c r="E62" s="156">
        <f t="shared" ref="E62:M62" si="17">E28</f>
        <v>112621</v>
      </c>
      <c r="F62" s="156">
        <f t="shared" si="17"/>
        <v>881244</v>
      </c>
      <c r="G62" s="156">
        <f t="shared" si="17"/>
        <v>844896</v>
      </c>
      <c r="H62" s="156">
        <f t="shared" si="17"/>
        <v>67100</v>
      </c>
      <c r="I62" s="156">
        <f t="shared" si="17"/>
        <v>80387</v>
      </c>
      <c r="J62" s="156">
        <f t="shared" si="17"/>
        <v>41947</v>
      </c>
      <c r="K62" s="156">
        <f t="shared" si="17"/>
        <v>95043</v>
      </c>
      <c r="L62" s="156">
        <f t="shared" si="17"/>
        <v>15517</v>
      </c>
      <c r="M62" s="157">
        <f t="shared" si="17"/>
        <v>26415</v>
      </c>
      <c r="N62" s="151">
        <f t="shared" si="10"/>
        <v>0</v>
      </c>
    </row>
    <row r="63" spans="3:14">
      <c r="C63" s="134" t="s">
        <v>79</v>
      </c>
      <c r="D63" s="155">
        <f t="shared" ref="D63:M63" si="18">D32</f>
        <v>0</v>
      </c>
      <c r="E63" s="156">
        <f t="shared" si="18"/>
        <v>4805004</v>
      </c>
      <c r="F63" s="156">
        <f t="shared" si="18"/>
        <v>0</v>
      </c>
      <c r="G63" s="156">
        <f t="shared" si="18"/>
        <v>1532204</v>
      </c>
      <c r="H63" s="156">
        <f t="shared" si="18"/>
        <v>0</v>
      </c>
      <c r="I63" s="156">
        <f t="shared" si="18"/>
        <v>0</v>
      </c>
      <c r="J63" s="156">
        <f t="shared" si="18"/>
        <v>0</v>
      </c>
      <c r="K63" s="156">
        <f t="shared" si="18"/>
        <v>0</v>
      </c>
      <c r="L63" s="156">
        <f t="shared" si="18"/>
        <v>0</v>
      </c>
      <c r="M63" s="157">
        <f t="shared" si="18"/>
        <v>0</v>
      </c>
      <c r="N63" s="151">
        <f t="shared" si="10"/>
        <v>-6337208</v>
      </c>
    </row>
    <row r="64" spans="3:14">
      <c r="C64" s="134" t="s">
        <v>404</v>
      </c>
      <c r="D64" s="155">
        <f t="shared" ref="D64:M64" si="19">D33</f>
        <v>47061</v>
      </c>
      <c r="E64" s="156">
        <f t="shared" si="19"/>
        <v>0</v>
      </c>
      <c r="F64" s="156">
        <f t="shared" si="19"/>
        <v>0</v>
      </c>
      <c r="G64" s="156">
        <f t="shared" si="19"/>
        <v>28647</v>
      </c>
      <c r="H64" s="156">
        <f t="shared" si="19"/>
        <v>0</v>
      </c>
      <c r="I64" s="156">
        <f t="shared" si="19"/>
        <v>18414</v>
      </c>
      <c r="J64" s="156">
        <f t="shared" si="19"/>
        <v>0</v>
      </c>
      <c r="K64" s="156">
        <f t="shared" si="19"/>
        <v>0</v>
      </c>
      <c r="L64" s="156">
        <f t="shared" si="19"/>
        <v>0</v>
      </c>
      <c r="M64" s="157">
        <f t="shared" si="19"/>
        <v>0</v>
      </c>
      <c r="N64" s="151">
        <f t="shared" si="10"/>
        <v>0</v>
      </c>
    </row>
    <row r="65" spans="3:20">
      <c r="C65" s="134" t="s">
        <v>87</v>
      </c>
      <c r="D65" s="155">
        <f>D36</f>
        <v>0</v>
      </c>
      <c r="E65" s="156">
        <f t="shared" ref="E65:M65" si="20">E36</f>
        <v>410010</v>
      </c>
      <c r="F65" s="156">
        <f t="shared" si="20"/>
        <v>0</v>
      </c>
      <c r="G65" s="156">
        <f t="shared" si="20"/>
        <v>139686</v>
      </c>
      <c r="H65" s="156">
        <f t="shared" si="20"/>
        <v>0</v>
      </c>
      <c r="I65" s="156">
        <f t="shared" si="20"/>
        <v>13718</v>
      </c>
      <c r="J65" s="156">
        <f t="shared" si="20"/>
        <v>0</v>
      </c>
      <c r="K65" s="156">
        <f t="shared" si="20"/>
        <v>696813</v>
      </c>
      <c r="L65" s="156">
        <f t="shared" si="20"/>
        <v>0</v>
      </c>
      <c r="M65" s="157">
        <f t="shared" si="20"/>
        <v>0</v>
      </c>
      <c r="N65" s="151">
        <f t="shared" si="10"/>
        <v>-1260227</v>
      </c>
    </row>
    <row r="66" spans="3:20">
      <c r="C66" s="134" t="s">
        <v>89</v>
      </c>
      <c r="D66" s="155">
        <f t="shared" ref="D66:M66" si="21">D37</f>
        <v>0</v>
      </c>
      <c r="E66" s="156">
        <f t="shared" si="21"/>
        <v>0</v>
      </c>
      <c r="F66" s="156">
        <f t="shared" si="21"/>
        <v>0</v>
      </c>
      <c r="G66" s="156">
        <f t="shared" si="21"/>
        <v>0</v>
      </c>
      <c r="H66" s="156">
        <f t="shared" si="21"/>
        <v>0</v>
      </c>
      <c r="I66" s="156">
        <f t="shared" si="21"/>
        <v>0</v>
      </c>
      <c r="J66" s="156">
        <f t="shared" si="21"/>
        <v>0</v>
      </c>
      <c r="K66" s="156">
        <f t="shared" si="21"/>
        <v>-33878</v>
      </c>
      <c r="L66" s="156">
        <f t="shared" si="21"/>
        <v>0</v>
      </c>
      <c r="M66" s="157">
        <f t="shared" si="21"/>
        <v>0</v>
      </c>
      <c r="N66" s="151">
        <f t="shared" si="10"/>
        <v>33878</v>
      </c>
    </row>
    <row r="67" spans="3:20">
      <c r="C67" s="135" t="s">
        <v>410</v>
      </c>
      <c r="D67" s="155">
        <f t="shared" ref="D67:K67" si="22">D38</f>
        <v>-6284</v>
      </c>
      <c r="E67" s="156">
        <f t="shared" si="22"/>
        <v>0</v>
      </c>
      <c r="F67" s="156">
        <f t="shared" si="22"/>
        <v>27118</v>
      </c>
      <c r="G67" s="156">
        <f t="shared" si="22"/>
        <v>-6588</v>
      </c>
      <c r="H67" s="156">
        <f t="shared" si="22"/>
        <v>-65</v>
      </c>
      <c r="I67" s="156">
        <f t="shared" si="22"/>
        <v>0</v>
      </c>
      <c r="J67" s="156">
        <f t="shared" si="22"/>
        <v>-208</v>
      </c>
      <c r="K67" s="156">
        <f t="shared" si="22"/>
        <v>5866</v>
      </c>
      <c r="L67" s="156">
        <f>SUM(CEI!S68:S70)</f>
        <v>-20561</v>
      </c>
      <c r="M67" s="157">
        <f>SUM(CEI!D68:D70)</f>
        <v>722</v>
      </c>
      <c r="N67" s="151">
        <f t="shared" si="10"/>
        <v>0</v>
      </c>
    </row>
    <row r="68" spans="3:20">
      <c r="C68" s="137" t="s">
        <v>189</v>
      </c>
      <c r="D68" s="364">
        <f>SUM(D47:D67)-SUM(E47:E67)</f>
        <v>562272</v>
      </c>
      <c r="E68" s="360"/>
      <c r="F68" s="364">
        <f>SUM(F47:F67)-SUM(G47:G67)</f>
        <v>-918009</v>
      </c>
      <c r="G68" s="360"/>
      <c r="H68" s="364">
        <f>SUM(H47:H67)-SUM(I47:I67)</f>
        <v>216917</v>
      </c>
      <c r="I68" s="360"/>
      <c r="J68" s="364">
        <f>SUM(J47:J67)-SUM(K47:K67)</f>
        <v>58282</v>
      </c>
      <c r="K68" s="360"/>
      <c r="L68" s="365">
        <f>SUM(L47:L67)-SUM(M47:M67)</f>
        <v>80538</v>
      </c>
      <c r="M68" s="366"/>
      <c r="N68" s="151">
        <f t="shared" si="10"/>
        <v>0</v>
      </c>
    </row>
    <row r="69" spans="3:20" ht="11.25">
      <c r="C69" s="129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1"/>
      <c r="S69" s="165" t="s">
        <v>429</v>
      </c>
    </row>
    <row r="70" spans="3:20" ht="11.25">
      <c r="C70" s="156" t="s">
        <v>543</v>
      </c>
      <c r="D70" s="156">
        <f>D47-E48-E49</f>
        <v>1231176</v>
      </c>
      <c r="F70" s="156">
        <f>F47-G48-G49</f>
        <v>215661</v>
      </c>
      <c r="H70" s="156"/>
      <c r="I70" s="156"/>
      <c r="J70" s="156" t="s">
        <v>512</v>
      </c>
      <c r="K70" s="156">
        <f>E52+G52</f>
        <v>-957</v>
      </c>
      <c r="L70" s="156"/>
      <c r="M70" s="156"/>
      <c r="N70" s="151"/>
      <c r="S70" s="165"/>
    </row>
    <row r="71" spans="3:20" ht="11.25">
      <c r="C71" s="129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1"/>
      <c r="S71" s="165"/>
    </row>
    <row r="72" spans="3:20" ht="11.25">
      <c r="C72" s="129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1"/>
      <c r="S72" s="165"/>
    </row>
    <row r="73" spans="3:20" ht="11.25">
      <c r="C73" s="129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1"/>
      <c r="S73" s="165"/>
    </row>
    <row r="75" spans="3:20">
      <c r="D75" s="313" t="s">
        <v>2</v>
      </c>
      <c r="E75" s="314"/>
      <c r="F75" s="313" t="s">
        <v>293</v>
      </c>
      <c r="G75" s="314"/>
      <c r="H75" s="313" t="s">
        <v>266</v>
      </c>
      <c r="I75" s="314"/>
      <c r="J75" s="313" t="s">
        <v>265</v>
      </c>
      <c r="K75" s="314"/>
      <c r="L75" s="313" t="s">
        <v>412</v>
      </c>
      <c r="M75" s="314"/>
      <c r="O75" s="158"/>
      <c r="S75" t="s">
        <v>118</v>
      </c>
      <c r="T75" t="s">
        <v>1</v>
      </c>
    </row>
    <row r="76" spans="3:20">
      <c r="D76" s="315"/>
      <c r="E76" s="316"/>
      <c r="F76" s="315"/>
      <c r="G76" s="316"/>
      <c r="H76" s="315"/>
      <c r="I76" s="316"/>
      <c r="J76" s="315"/>
      <c r="K76" s="316"/>
      <c r="L76" s="315"/>
      <c r="M76" s="316"/>
      <c r="R76" s="163" t="s">
        <v>13</v>
      </c>
      <c r="S76" s="161" t="s">
        <v>417</v>
      </c>
      <c r="T76" s="161" t="s">
        <v>430</v>
      </c>
    </row>
    <row r="77" spans="3:20">
      <c r="D77" s="315"/>
      <c r="E77" s="316"/>
      <c r="F77" s="315"/>
      <c r="G77" s="316"/>
      <c r="H77" s="315"/>
      <c r="I77" s="316"/>
      <c r="J77" s="315"/>
      <c r="K77" s="316"/>
      <c r="L77" s="315"/>
      <c r="M77" s="316"/>
      <c r="R77" s="163" t="s">
        <v>421</v>
      </c>
      <c r="S77" s="161" t="s">
        <v>417</v>
      </c>
      <c r="T77" s="161" t="s">
        <v>431</v>
      </c>
    </row>
    <row r="78" spans="3:20">
      <c r="D78" s="315"/>
      <c r="E78" s="316"/>
      <c r="F78" s="315"/>
      <c r="G78" s="316"/>
      <c r="H78" s="315"/>
      <c r="I78" s="316"/>
      <c r="J78" s="315"/>
      <c r="K78" s="316"/>
      <c r="L78" s="315"/>
      <c r="M78" s="316"/>
      <c r="R78" s="163" t="s">
        <v>422</v>
      </c>
      <c r="S78" s="161">
        <v>0</v>
      </c>
      <c r="T78" s="161" t="s">
        <v>432</v>
      </c>
    </row>
    <row r="79" spans="3:20" ht="16.5">
      <c r="D79" s="136" t="s">
        <v>413</v>
      </c>
      <c r="E79" s="136" t="s">
        <v>414</v>
      </c>
      <c r="F79" s="136" t="s">
        <v>413</v>
      </c>
      <c r="G79" s="136" t="s">
        <v>414</v>
      </c>
      <c r="H79" s="136" t="s">
        <v>413</v>
      </c>
      <c r="I79" s="136" t="s">
        <v>414</v>
      </c>
      <c r="J79" s="136" t="s">
        <v>413</v>
      </c>
      <c r="K79" s="136" t="s">
        <v>414</v>
      </c>
      <c r="L79" s="136" t="s">
        <v>413</v>
      </c>
      <c r="M79" s="136" t="s">
        <v>414</v>
      </c>
      <c r="O79" s="230" t="s">
        <v>540</v>
      </c>
      <c r="P79" s="230" t="s">
        <v>541</v>
      </c>
      <c r="R79" s="163" t="s">
        <v>17</v>
      </c>
      <c r="S79" s="161" t="s">
        <v>418</v>
      </c>
      <c r="T79" s="161" t="s">
        <v>433</v>
      </c>
    </row>
    <row r="80" spans="3:20">
      <c r="C80" s="131" t="s">
        <v>98</v>
      </c>
      <c r="D80" s="160"/>
      <c r="E80" s="169">
        <f t="shared" ref="E80:M80" si="23">E47</f>
        <v>0</v>
      </c>
      <c r="F80" s="169"/>
      <c r="G80" s="169">
        <f t="shared" si="23"/>
        <v>0</v>
      </c>
      <c r="H80" s="169">
        <f>H47+S80</f>
        <v>522038</v>
      </c>
      <c r="I80" s="169">
        <f t="shared" si="23"/>
        <v>0</v>
      </c>
      <c r="J80" s="169">
        <f>J47+D47+F47-S80</f>
        <v>7087559</v>
      </c>
      <c r="K80" s="169">
        <f t="shared" si="23"/>
        <v>0</v>
      </c>
      <c r="L80" s="169">
        <f t="shared" si="23"/>
        <v>1206009</v>
      </c>
      <c r="M80" s="150">
        <f t="shared" si="23"/>
        <v>1252049</v>
      </c>
      <c r="N80" s="151">
        <f>D80+F80+H80+J80+L80-M80-K80-I80-G80-E80</f>
        <v>7563557</v>
      </c>
      <c r="O80" s="158">
        <f>H80+J80</f>
        <v>7609597</v>
      </c>
      <c r="P80" s="158">
        <f>O80-K84</f>
        <v>6662425</v>
      </c>
      <c r="Q80" s="158"/>
      <c r="R80" s="164" t="s">
        <v>423</v>
      </c>
      <c r="S80" s="162">
        <v>3377</v>
      </c>
      <c r="T80" s="162" t="s">
        <v>434</v>
      </c>
    </row>
    <row r="81" spans="3:20">
      <c r="C81" s="132" t="s">
        <v>389</v>
      </c>
      <c r="D81" s="152">
        <f>D48+L48-M48</f>
        <v>2531961</v>
      </c>
      <c r="E81" s="153">
        <v>0</v>
      </c>
      <c r="F81" s="153">
        <f>F48</f>
        <v>0</v>
      </c>
      <c r="G81" s="153"/>
      <c r="H81" s="153">
        <f>H48</f>
        <v>0</v>
      </c>
      <c r="I81" s="153">
        <f>I48+S82</f>
        <v>140274</v>
      </c>
      <c r="J81" s="153">
        <f>J48</f>
        <v>0</v>
      </c>
      <c r="K81" s="153">
        <f>K48+E48+G48-S82</f>
        <v>2391687</v>
      </c>
      <c r="L81" s="153">
        <v>0</v>
      </c>
      <c r="M81" s="154">
        <v>0</v>
      </c>
      <c r="N81" s="151">
        <f t="shared" ref="N81:N90" si="24">D81+F81+H81+J81+L81-M81-K81-I81-G81-E81</f>
        <v>0</v>
      </c>
      <c r="R81" s="163" t="s">
        <v>22</v>
      </c>
      <c r="S81" s="161">
        <v>136</v>
      </c>
      <c r="T81" s="161" t="s">
        <v>435</v>
      </c>
    </row>
    <row r="82" spans="3:20">
      <c r="C82" s="133" t="s">
        <v>28</v>
      </c>
      <c r="D82" s="155">
        <f t="shared" ref="D82:M82" si="25">D49</f>
        <v>562617</v>
      </c>
      <c r="E82" s="156">
        <v>0</v>
      </c>
      <c r="F82" s="156">
        <f t="shared" si="25"/>
        <v>0</v>
      </c>
      <c r="G82" s="156"/>
      <c r="H82" s="156">
        <f t="shared" si="25"/>
        <v>0</v>
      </c>
      <c r="I82" s="156">
        <f t="shared" si="25"/>
        <v>41011</v>
      </c>
      <c r="J82" s="156">
        <f t="shared" si="25"/>
        <v>0</v>
      </c>
      <c r="K82" s="156">
        <f>K49+E49+G49</f>
        <v>521606</v>
      </c>
      <c r="L82" s="156">
        <f t="shared" si="25"/>
        <v>0</v>
      </c>
      <c r="M82" s="157">
        <f t="shared" si="25"/>
        <v>0</v>
      </c>
      <c r="N82" s="151">
        <f>D82+F82+H82+J82+L82-M82-K82-I82-G82-E82</f>
        <v>0</v>
      </c>
      <c r="R82" s="163" t="s">
        <v>424</v>
      </c>
      <c r="S82" s="161">
        <v>136</v>
      </c>
      <c r="T82" s="161" t="s">
        <v>436</v>
      </c>
    </row>
    <row r="83" spans="3:20">
      <c r="C83" s="133" t="s">
        <v>542</v>
      </c>
      <c r="D83" s="155">
        <v>0</v>
      </c>
      <c r="E83" s="156">
        <f t="shared" ref="E83:M83" si="26">E50</f>
        <v>0</v>
      </c>
      <c r="F83" s="156">
        <f t="shared" si="26"/>
        <v>0</v>
      </c>
      <c r="G83" s="156">
        <v>0</v>
      </c>
      <c r="H83" s="156">
        <f t="shared" si="26"/>
        <v>0</v>
      </c>
      <c r="I83" s="156">
        <f t="shared" si="26"/>
        <v>0</v>
      </c>
      <c r="J83" s="156">
        <f t="shared" si="26"/>
        <v>0</v>
      </c>
      <c r="K83" s="156">
        <f t="shared" si="26"/>
        <v>0</v>
      </c>
      <c r="L83" s="156">
        <f t="shared" si="26"/>
        <v>0</v>
      </c>
      <c r="M83" s="157">
        <f t="shared" si="26"/>
        <v>0</v>
      </c>
      <c r="N83" s="151">
        <f t="shared" si="24"/>
        <v>0</v>
      </c>
      <c r="R83" s="163"/>
      <c r="S83" s="161"/>
      <c r="T83" s="161"/>
    </row>
    <row r="84" spans="3:20">
      <c r="C84" s="134" t="s">
        <v>19</v>
      </c>
      <c r="D84" s="155">
        <f t="shared" ref="D84:M84" si="27">D51</f>
        <v>0</v>
      </c>
      <c r="E84" s="156">
        <f t="shared" si="27"/>
        <v>0</v>
      </c>
      <c r="F84" s="156">
        <f t="shared" si="27"/>
        <v>1014660</v>
      </c>
      <c r="G84" s="156">
        <f t="shared" si="27"/>
        <v>0</v>
      </c>
      <c r="H84" s="156">
        <f t="shared" si="27"/>
        <v>0</v>
      </c>
      <c r="I84" s="156">
        <f t="shared" si="27"/>
        <v>67487.999999999985</v>
      </c>
      <c r="J84" s="156">
        <f t="shared" si="27"/>
        <v>0</v>
      </c>
      <c r="K84" s="156">
        <f t="shared" si="27"/>
        <v>947172</v>
      </c>
      <c r="L84" s="156">
        <f t="shared" si="27"/>
        <v>0</v>
      </c>
      <c r="M84" s="157">
        <f t="shared" si="27"/>
        <v>0</v>
      </c>
      <c r="N84" s="151">
        <f t="shared" si="24"/>
        <v>1.4551915228366852E-11</v>
      </c>
      <c r="R84" s="163" t="s">
        <v>425</v>
      </c>
      <c r="S84" s="161">
        <v>0</v>
      </c>
      <c r="T84" s="161" t="s">
        <v>437</v>
      </c>
    </row>
    <row r="85" spans="3:20">
      <c r="C85" s="135" t="s">
        <v>34</v>
      </c>
      <c r="D85" s="166">
        <f t="shared" ref="D85:M85" si="28">D52</f>
        <v>0</v>
      </c>
      <c r="E85" s="167">
        <v>0</v>
      </c>
      <c r="F85" s="167">
        <f>F52</f>
        <v>86391</v>
      </c>
      <c r="G85" s="167">
        <v>0</v>
      </c>
      <c r="H85" s="167">
        <f t="shared" si="28"/>
        <v>0</v>
      </c>
      <c r="I85" s="167">
        <f t="shared" si="28"/>
        <v>9262</v>
      </c>
      <c r="J85" s="167">
        <f t="shared" si="28"/>
        <v>0</v>
      </c>
      <c r="K85" s="167">
        <f>K52+G52+E52</f>
        <v>77129</v>
      </c>
      <c r="L85" s="167">
        <f t="shared" si="28"/>
        <v>0</v>
      </c>
      <c r="M85" s="168">
        <f t="shared" si="28"/>
        <v>0</v>
      </c>
      <c r="N85" s="151">
        <f t="shared" si="24"/>
        <v>0</v>
      </c>
      <c r="R85" s="163" t="s">
        <v>426</v>
      </c>
      <c r="S85" s="161">
        <v>0</v>
      </c>
      <c r="T85" s="161" t="s">
        <v>438</v>
      </c>
    </row>
    <row r="86" spans="3:20">
      <c r="C86" s="132" t="s">
        <v>40</v>
      </c>
      <c r="D86" s="152">
        <f t="shared" ref="D86:M86" si="29">D53</f>
        <v>249546</v>
      </c>
      <c r="E86" s="153">
        <f t="shared" si="29"/>
        <v>205143</v>
      </c>
      <c r="F86" s="153">
        <f>F53</f>
        <v>191053</v>
      </c>
      <c r="G86" s="153">
        <f t="shared" si="29"/>
        <v>446981</v>
      </c>
      <c r="H86" s="153">
        <f t="shared" si="29"/>
        <v>1235025</v>
      </c>
      <c r="I86" s="153">
        <f t="shared" si="29"/>
        <v>1060460</v>
      </c>
      <c r="J86" s="153">
        <f t="shared" si="29"/>
        <v>246213</v>
      </c>
      <c r="K86" s="153">
        <f t="shared" si="29"/>
        <v>282899</v>
      </c>
      <c r="L86" s="153">
        <f t="shared" si="29"/>
        <v>106219</v>
      </c>
      <c r="M86" s="154">
        <f t="shared" si="29"/>
        <v>32573</v>
      </c>
      <c r="N86" s="151">
        <f t="shared" si="24"/>
        <v>0</v>
      </c>
      <c r="R86" s="164" t="s">
        <v>35</v>
      </c>
      <c r="S86" s="162">
        <v>0</v>
      </c>
      <c r="T86" s="162" t="s">
        <v>439</v>
      </c>
    </row>
    <row r="87" spans="3:20">
      <c r="C87" s="133" t="s">
        <v>408</v>
      </c>
      <c r="D87" s="155">
        <f>D54+D70-E54+F54</f>
        <v>1888670</v>
      </c>
      <c r="E87" s="156">
        <v>0</v>
      </c>
      <c r="F87" s="156">
        <v>0</v>
      </c>
      <c r="G87" s="156">
        <f>G54</f>
        <v>0</v>
      </c>
      <c r="H87" s="156">
        <v>0</v>
      </c>
      <c r="I87" s="156">
        <f>I54-H54+S87</f>
        <v>153250</v>
      </c>
      <c r="J87" s="156">
        <v>0</v>
      </c>
      <c r="K87" s="156">
        <f>K54+D70-J54-S87</f>
        <v>1821126</v>
      </c>
      <c r="L87" s="156">
        <f>L54-M54</f>
        <v>85706</v>
      </c>
      <c r="M87" s="157">
        <v>0</v>
      </c>
      <c r="N87" s="151">
        <f t="shared" si="24"/>
        <v>0</v>
      </c>
      <c r="R87" s="164" t="s">
        <v>427</v>
      </c>
      <c r="S87" s="162">
        <v>3241</v>
      </c>
      <c r="T87" s="162" t="s">
        <v>419</v>
      </c>
    </row>
    <row r="88" spans="3:20">
      <c r="C88" s="133" t="s">
        <v>392</v>
      </c>
      <c r="D88" s="155">
        <f>D55</f>
        <v>0</v>
      </c>
      <c r="E88" s="156">
        <f>E55</f>
        <v>0</v>
      </c>
      <c r="F88" s="156">
        <f>F55</f>
        <v>0</v>
      </c>
      <c r="G88" s="156">
        <f t="shared" ref="G88:M88" si="30">G55</f>
        <v>0</v>
      </c>
      <c r="H88" s="156">
        <f t="shared" si="30"/>
        <v>0</v>
      </c>
      <c r="I88" s="156">
        <f t="shared" si="30"/>
        <v>0</v>
      </c>
      <c r="J88" s="156">
        <f t="shared" si="30"/>
        <v>0</v>
      </c>
      <c r="K88" s="156">
        <f t="shared" si="30"/>
        <v>0</v>
      </c>
      <c r="L88" s="156">
        <f t="shared" si="30"/>
        <v>0</v>
      </c>
      <c r="M88" s="157">
        <f t="shared" si="30"/>
        <v>0</v>
      </c>
      <c r="N88" s="151">
        <f t="shared" si="24"/>
        <v>0</v>
      </c>
      <c r="R88" s="163" t="s">
        <v>428</v>
      </c>
      <c r="S88" s="161" t="s">
        <v>420</v>
      </c>
      <c r="T88" s="161" t="s">
        <v>440</v>
      </c>
    </row>
    <row r="89" spans="3:20">
      <c r="C89" s="133" t="s">
        <v>401</v>
      </c>
      <c r="D89" s="155">
        <f t="shared" ref="D89:M89" si="31">D56</f>
        <v>0</v>
      </c>
      <c r="E89" s="156">
        <f t="shared" si="31"/>
        <v>0</v>
      </c>
      <c r="F89" s="156">
        <f t="shared" si="31"/>
        <v>0</v>
      </c>
      <c r="G89" s="156">
        <f t="shared" si="31"/>
        <v>0</v>
      </c>
      <c r="H89" s="156">
        <f t="shared" si="31"/>
        <v>0</v>
      </c>
      <c r="I89" s="156">
        <f t="shared" si="31"/>
        <v>0</v>
      </c>
      <c r="J89" s="156">
        <f t="shared" si="31"/>
        <v>0</v>
      </c>
      <c r="K89" s="156">
        <f t="shared" si="31"/>
        <v>0</v>
      </c>
      <c r="L89" s="156">
        <f t="shared" si="31"/>
        <v>0</v>
      </c>
      <c r="M89" s="157">
        <f t="shared" si="31"/>
        <v>0</v>
      </c>
      <c r="N89" s="151">
        <f t="shared" si="24"/>
        <v>0</v>
      </c>
    </row>
    <row r="90" spans="3:20">
      <c r="C90" s="133" t="s">
        <v>288</v>
      </c>
      <c r="D90" s="155">
        <f t="shared" ref="D90:M90" si="32">D57</f>
        <v>0</v>
      </c>
      <c r="E90" s="156">
        <f t="shared" si="32"/>
        <v>0</v>
      </c>
      <c r="F90" s="156">
        <f t="shared" si="32"/>
        <v>0</v>
      </c>
      <c r="G90" s="156">
        <f t="shared" si="32"/>
        <v>0</v>
      </c>
      <c r="H90" s="156">
        <f t="shared" si="32"/>
        <v>0</v>
      </c>
      <c r="I90" s="156">
        <f t="shared" si="32"/>
        <v>0</v>
      </c>
      <c r="J90" s="156">
        <f t="shared" si="32"/>
        <v>0</v>
      </c>
      <c r="K90" s="156">
        <f t="shared" si="32"/>
        <v>0</v>
      </c>
      <c r="L90" s="156">
        <f t="shared" si="32"/>
        <v>0</v>
      </c>
      <c r="M90" s="157">
        <f t="shared" si="32"/>
        <v>0</v>
      </c>
      <c r="N90" s="151">
        <f t="shared" si="24"/>
        <v>0</v>
      </c>
    </row>
    <row r="91" spans="3:20" ht="16.5">
      <c r="C91" s="159" t="s">
        <v>453</v>
      </c>
      <c r="D91" s="155">
        <f t="shared" ref="D91:M91" si="33">D58</f>
        <v>0</v>
      </c>
      <c r="E91" s="156">
        <f>E58+F54+E52</f>
        <v>362776</v>
      </c>
      <c r="F91" s="156">
        <f>F58+F70+F54-G58+E52-K70</f>
        <v>917257</v>
      </c>
      <c r="G91" s="156">
        <v>0</v>
      </c>
      <c r="H91" s="156">
        <f t="shared" si="33"/>
        <v>0</v>
      </c>
      <c r="I91" s="156">
        <f t="shared" si="33"/>
        <v>42715</v>
      </c>
      <c r="J91" s="156">
        <f t="shared" si="33"/>
        <v>0</v>
      </c>
      <c r="K91" s="156">
        <f>K58+F70-K70</f>
        <v>511766</v>
      </c>
      <c r="L91" s="156">
        <f t="shared" si="33"/>
        <v>0</v>
      </c>
      <c r="M91" s="157">
        <f t="shared" si="33"/>
        <v>0</v>
      </c>
      <c r="N91" s="151">
        <f>D91+F91+H91+J91+L91-M91-K91-I91-G91-E91</f>
        <v>0</v>
      </c>
    </row>
    <row r="92" spans="3:20">
      <c r="C92" s="134" t="s">
        <v>50</v>
      </c>
      <c r="D92" s="155">
        <f t="shared" ref="D92:M92" si="34">D59</f>
        <v>0</v>
      </c>
      <c r="E92" s="156">
        <f>E59</f>
        <v>895266</v>
      </c>
      <c r="F92" s="156">
        <f t="shared" si="34"/>
        <v>800730</v>
      </c>
      <c r="G92" s="156">
        <f t="shared" si="34"/>
        <v>0</v>
      </c>
      <c r="H92" s="156">
        <f t="shared" si="34"/>
        <v>94536</v>
      </c>
      <c r="I92" s="156">
        <f t="shared" si="34"/>
        <v>0</v>
      </c>
      <c r="J92" s="156">
        <f t="shared" si="34"/>
        <v>0</v>
      </c>
      <c r="K92" s="156">
        <f t="shared" si="34"/>
        <v>0</v>
      </c>
      <c r="L92" s="156">
        <f t="shared" si="34"/>
        <v>0</v>
      </c>
      <c r="M92" s="157">
        <f t="shared" si="34"/>
        <v>0</v>
      </c>
      <c r="N92" s="151">
        <f t="shared" ref="N92:N99" si="35">D92+F92+H92+J92+L92-M92-K92-I92-G92-E92</f>
        <v>0</v>
      </c>
    </row>
    <row r="93" spans="3:20" ht="16.5">
      <c r="C93" s="134" t="s">
        <v>455</v>
      </c>
      <c r="D93" s="155">
        <f>D60+D50</f>
        <v>1254637</v>
      </c>
      <c r="E93" s="156">
        <f t="shared" ref="E93:M93" si="36">E60</f>
        <v>0</v>
      </c>
      <c r="F93" s="156">
        <f t="shared" si="36"/>
        <v>0</v>
      </c>
      <c r="G93" s="156">
        <f>G60+G50</f>
        <v>1254637</v>
      </c>
      <c r="H93" s="156">
        <f t="shared" si="36"/>
        <v>0</v>
      </c>
      <c r="I93" s="156">
        <f t="shared" si="36"/>
        <v>0</v>
      </c>
      <c r="J93" s="156">
        <f t="shared" si="36"/>
        <v>0</v>
      </c>
      <c r="K93" s="156">
        <f t="shared" si="36"/>
        <v>0</v>
      </c>
      <c r="L93" s="156">
        <f t="shared" si="36"/>
        <v>0</v>
      </c>
      <c r="M93" s="157">
        <f t="shared" si="36"/>
        <v>0</v>
      </c>
      <c r="N93" s="151">
        <f t="shared" si="35"/>
        <v>0</v>
      </c>
    </row>
    <row r="94" spans="3:20">
      <c r="C94" s="134" t="s">
        <v>456</v>
      </c>
      <c r="D94" s="155">
        <f>D61+D64</f>
        <v>717798</v>
      </c>
      <c r="E94" s="156">
        <f t="shared" ref="E94:M94" si="37">E61</f>
        <v>0</v>
      </c>
      <c r="F94" s="156">
        <f t="shared" si="37"/>
        <v>0</v>
      </c>
      <c r="G94" s="156">
        <f>G61+G64</f>
        <v>624646</v>
      </c>
      <c r="H94" s="156">
        <f t="shared" si="37"/>
        <v>0</v>
      </c>
      <c r="I94" s="156">
        <f>I61+I64</f>
        <v>93152</v>
      </c>
      <c r="J94" s="156">
        <f t="shared" si="37"/>
        <v>0</v>
      </c>
      <c r="K94" s="156">
        <f t="shared" si="37"/>
        <v>0</v>
      </c>
      <c r="L94" s="156">
        <f t="shared" si="37"/>
        <v>0</v>
      </c>
      <c r="M94" s="157">
        <f t="shared" si="37"/>
        <v>0</v>
      </c>
      <c r="N94" s="151">
        <f t="shared" si="35"/>
        <v>0</v>
      </c>
    </row>
    <row r="95" spans="3:20">
      <c r="C95" s="135" t="s">
        <v>65</v>
      </c>
      <c r="D95" s="166">
        <f>D62-E62+D67+(M48-L48)</f>
        <v>35242</v>
      </c>
      <c r="E95" s="167">
        <v>0</v>
      </c>
      <c r="F95" s="167">
        <f>F62-G62+F67-G67</f>
        <v>70054</v>
      </c>
      <c r="G95" s="167">
        <v>0</v>
      </c>
      <c r="H95" s="167">
        <v>0</v>
      </c>
      <c r="I95" s="167">
        <f>I62-H62-H67</f>
        <v>13352</v>
      </c>
      <c r="J95" s="167">
        <v>0</v>
      </c>
      <c r="K95" s="167">
        <f>K62-J62+K67-J67</f>
        <v>59170</v>
      </c>
      <c r="L95" s="167">
        <v>0</v>
      </c>
      <c r="M95" s="168">
        <f>M62-L62-L67+M67+M48-L48</f>
        <v>32774</v>
      </c>
      <c r="N95" s="151">
        <f t="shared" si="35"/>
        <v>0</v>
      </c>
    </row>
    <row r="96" spans="3:20">
      <c r="C96" s="134" t="s">
        <v>79</v>
      </c>
      <c r="D96" s="155">
        <f t="shared" ref="D96:M96" si="38">D63</f>
        <v>0</v>
      </c>
      <c r="E96" s="156">
        <f t="shared" si="38"/>
        <v>4805004</v>
      </c>
      <c r="F96" s="156">
        <f t="shared" si="38"/>
        <v>0</v>
      </c>
      <c r="G96" s="156">
        <f t="shared" si="38"/>
        <v>1532204</v>
      </c>
      <c r="H96" s="156">
        <f t="shared" si="38"/>
        <v>0</v>
      </c>
      <c r="I96" s="156">
        <f t="shared" si="38"/>
        <v>0</v>
      </c>
      <c r="J96" s="156">
        <f t="shared" si="38"/>
        <v>0</v>
      </c>
      <c r="K96" s="156">
        <f t="shared" si="38"/>
        <v>0</v>
      </c>
      <c r="L96" s="156">
        <f t="shared" si="38"/>
        <v>0</v>
      </c>
      <c r="M96" s="157">
        <f t="shared" si="38"/>
        <v>0</v>
      </c>
      <c r="N96" s="151">
        <f>D96+F96+H96+J96+L96-M96-K96-I96-G96-E96</f>
        <v>-6337208</v>
      </c>
    </row>
    <row r="97" spans="3:14">
      <c r="C97" s="134" t="s">
        <v>404</v>
      </c>
      <c r="D97" s="155">
        <v>0</v>
      </c>
      <c r="E97" s="156">
        <f t="shared" ref="E97:M97" si="39">E64</f>
        <v>0</v>
      </c>
      <c r="F97" s="156">
        <f t="shared" si="39"/>
        <v>0</v>
      </c>
      <c r="G97" s="156">
        <v>0</v>
      </c>
      <c r="H97" s="156">
        <f t="shared" si="39"/>
        <v>0</v>
      </c>
      <c r="I97" s="156"/>
      <c r="J97" s="156">
        <f t="shared" si="39"/>
        <v>0</v>
      </c>
      <c r="K97" s="156">
        <f t="shared" si="39"/>
        <v>0</v>
      </c>
      <c r="L97" s="156">
        <f t="shared" si="39"/>
        <v>0</v>
      </c>
      <c r="M97" s="157">
        <f t="shared" si="39"/>
        <v>0</v>
      </c>
      <c r="N97" s="151">
        <f t="shared" si="35"/>
        <v>0</v>
      </c>
    </row>
    <row r="98" spans="3:14">
      <c r="C98" s="134" t="s">
        <v>87</v>
      </c>
      <c r="D98" s="155">
        <f t="shared" ref="D98:M98" si="40">D65</f>
        <v>0</v>
      </c>
      <c r="E98" s="156">
        <f t="shared" si="40"/>
        <v>410010</v>
      </c>
      <c r="F98" s="156">
        <f t="shared" si="40"/>
        <v>0</v>
      </c>
      <c r="G98" s="156">
        <f t="shared" si="40"/>
        <v>139686</v>
      </c>
      <c r="H98" s="156">
        <f t="shared" si="40"/>
        <v>0</v>
      </c>
      <c r="I98" s="156">
        <f t="shared" si="40"/>
        <v>13718</v>
      </c>
      <c r="J98" s="156">
        <f t="shared" si="40"/>
        <v>0</v>
      </c>
      <c r="K98" s="156">
        <f t="shared" si="40"/>
        <v>696813</v>
      </c>
      <c r="L98" s="156">
        <f t="shared" si="40"/>
        <v>0</v>
      </c>
      <c r="M98" s="157">
        <f t="shared" si="40"/>
        <v>0</v>
      </c>
      <c r="N98" s="151">
        <f>D98+F98+H98+J98+L98-M98-K98-I98-G98-E98</f>
        <v>-1260227</v>
      </c>
    </row>
    <row r="99" spans="3:14">
      <c r="C99" s="134" t="s">
        <v>89</v>
      </c>
      <c r="D99" s="155">
        <f t="shared" ref="D99:M99" si="41">D66</f>
        <v>0</v>
      </c>
      <c r="E99" s="156">
        <f t="shared" si="41"/>
        <v>0</v>
      </c>
      <c r="F99" s="156">
        <f t="shared" si="41"/>
        <v>0</v>
      </c>
      <c r="G99" s="156">
        <f t="shared" si="41"/>
        <v>0</v>
      </c>
      <c r="H99" s="156">
        <f t="shared" si="41"/>
        <v>0</v>
      </c>
      <c r="I99" s="156">
        <f t="shared" si="41"/>
        <v>0</v>
      </c>
      <c r="J99" s="156">
        <f t="shared" si="41"/>
        <v>0</v>
      </c>
      <c r="K99" s="156">
        <f t="shared" si="41"/>
        <v>-33878</v>
      </c>
      <c r="L99" s="156">
        <f t="shared" si="41"/>
        <v>0</v>
      </c>
      <c r="M99" s="157">
        <f t="shared" si="41"/>
        <v>0</v>
      </c>
      <c r="N99" s="151">
        <f t="shared" si="35"/>
        <v>33878</v>
      </c>
    </row>
    <row r="100" spans="3:14">
      <c r="C100" s="135" t="s">
        <v>410</v>
      </c>
      <c r="D100" s="155">
        <v>0</v>
      </c>
      <c r="E100" s="156">
        <f>E67</f>
        <v>0</v>
      </c>
      <c r="F100" s="156"/>
      <c r="G100" s="156"/>
      <c r="H100" s="156">
        <v>0</v>
      </c>
      <c r="I100" s="156">
        <f>I67</f>
        <v>0</v>
      </c>
      <c r="J100" s="156">
        <v>0</v>
      </c>
      <c r="K100" s="156">
        <v>0</v>
      </c>
      <c r="L100" s="156">
        <v>0</v>
      </c>
      <c r="M100" s="157">
        <v>0</v>
      </c>
      <c r="N100" s="151">
        <f>D100+F100+H100+J100+L100-M100-K100-I100-G100-E100</f>
        <v>0</v>
      </c>
    </row>
    <row r="101" spans="3:14">
      <c r="C101" s="137" t="s">
        <v>189</v>
      </c>
      <c r="D101" s="360">
        <f>SUM(D80:D100)-SUM(E80:E100)</f>
        <v>562272</v>
      </c>
      <c r="E101" s="361"/>
      <c r="F101" s="360">
        <f>SUM(F80:F100)-SUM(G80:G100)</f>
        <v>-918009</v>
      </c>
      <c r="G101" s="361"/>
      <c r="H101" s="360">
        <f>SUM(H80:H100)-SUM(I80:I100)</f>
        <v>216917</v>
      </c>
      <c r="I101" s="361"/>
      <c r="J101" s="360">
        <f>SUM(J80:J100)-SUM(K80:K100)</f>
        <v>58282</v>
      </c>
      <c r="K101" s="361"/>
      <c r="L101" s="360">
        <f>SUM(L80:L100)-SUM(M80:M100)</f>
        <v>80538</v>
      </c>
      <c r="M101" s="361"/>
      <c r="N101" s="151">
        <f>D101+F101+H101+J101+L101-M101-K101-I101-G101-E101</f>
        <v>0</v>
      </c>
    </row>
    <row r="103" spans="3:14">
      <c r="C103" s="46" t="s">
        <v>415</v>
      </c>
      <c r="D103" s="360">
        <f>D68-D101</f>
        <v>0</v>
      </c>
      <c r="E103" s="361"/>
      <c r="F103" s="360">
        <f>F68-F101</f>
        <v>0</v>
      </c>
      <c r="G103" s="361"/>
      <c r="H103" s="360">
        <f>H68-H101</f>
        <v>0</v>
      </c>
      <c r="I103" s="361"/>
      <c r="J103" s="360">
        <f>J68-J101</f>
        <v>0</v>
      </c>
      <c r="K103" s="361"/>
      <c r="L103" s="360">
        <f>L68-L101</f>
        <v>0</v>
      </c>
      <c r="M103" s="361"/>
    </row>
    <row r="105" spans="3:14">
      <c r="C105" t="s">
        <v>441</v>
      </c>
      <c r="H105" t="s">
        <v>544</v>
      </c>
    </row>
    <row r="106" spans="3:14">
      <c r="C106" t="s">
        <v>442</v>
      </c>
      <c r="H106" t="s">
        <v>545</v>
      </c>
    </row>
    <row r="107" spans="3:14">
      <c r="C107" t="s">
        <v>444</v>
      </c>
      <c r="H107" t="s">
        <v>546</v>
      </c>
    </row>
    <row r="108" spans="3:14">
      <c r="C108" t="s">
        <v>443</v>
      </c>
      <c r="H108" t="s">
        <v>547</v>
      </c>
    </row>
    <row r="109" spans="3:14">
      <c r="C109" t="s">
        <v>445</v>
      </c>
      <c r="H109" t="s">
        <v>548</v>
      </c>
    </row>
    <row r="110" spans="3:14">
      <c r="C110" t="s">
        <v>446</v>
      </c>
      <c r="H110" t="s">
        <v>549</v>
      </c>
    </row>
    <row r="111" spans="3:14">
      <c r="C111" t="s">
        <v>449</v>
      </c>
      <c r="H111" t="s">
        <v>550</v>
      </c>
    </row>
    <row r="112" spans="3:14">
      <c r="C112" t="s">
        <v>447</v>
      </c>
      <c r="H112" t="s">
        <v>551</v>
      </c>
    </row>
    <row r="113" spans="2:14">
      <c r="C113" t="s">
        <v>448</v>
      </c>
      <c r="H113" t="s">
        <v>552</v>
      </c>
    </row>
    <row r="114" spans="2:14">
      <c r="C114" t="s">
        <v>450</v>
      </c>
    </row>
    <row r="115" spans="2:14">
      <c r="C115" t="s">
        <v>451</v>
      </c>
    </row>
    <row r="116" spans="2:14" ht="16.5">
      <c r="C116" s="23" t="s">
        <v>452</v>
      </c>
      <c r="J116">
        <f>CEI!M30</f>
        <v>70354</v>
      </c>
      <c r="K116">
        <f>CEI!J30</f>
        <v>579761</v>
      </c>
    </row>
    <row r="117" spans="2:14">
      <c r="C117" s="23" t="s">
        <v>454</v>
      </c>
      <c r="J117" s="254">
        <f>J116/J129</f>
        <v>1.5633193905467552E-2</v>
      </c>
      <c r="K117" s="254">
        <f>K116/K129</f>
        <v>7.2876163655326107E-2</v>
      </c>
    </row>
    <row r="118" spans="2:14">
      <c r="C118" t="s">
        <v>457</v>
      </c>
    </row>
    <row r="119" spans="2:14">
      <c r="G119" s="255">
        <f>SUM(G127:G128)/O80</f>
        <v>1.0044663337624844</v>
      </c>
    </row>
    <row r="120" spans="2:14">
      <c r="B120" s="359" t="s">
        <v>580</v>
      </c>
      <c r="C120" s="359"/>
      <c r="D120" s="313" t="s">
        <v>2</v>
      </c>
      <c r="E120" s="314"/>
      <c r="F120" s="313" t="s">
        <v>293</v>
      </c>
      <c r="G120" s="314"/>
      <c r="H120" s="313" t="s">
        <v>266</v>
      </c>
      <c r="I120" s="314"/>
      <c r="J120" s="313" t="s">
        <v>265</v>
      </c>
      <c r="K120" s="314"/>
      <c r="L120" s="313" t="s">
        <v>412</v>
      </c>
      <c r="M120" s="314"/>
    </row>
    <row r="121" spans="2:14">
      <c r="B121" s="359"/>
      <c r="C121" s="359"/>
      <c r="D121" s="315"/>
      <c r="E121" s="316"/>
      <c r="F121" s="315"/>
      <c r="G121" s="316"/>
      <c r="H121" s="315"/>
      <c r="I121" s="316"/>
      <c r="J121" s="315"/>
      <c r="K121" s="316"/>
      <c r="L121" s="315"/>
      <c r="M121" s="316"/>
    </row>
    <row r="122" spans="2:14">
      <c r="B122" s="359"/>
      <c r="C122" s="359"/>
      <c r="D122" s="315"/>
      <c r="E122" s="316"/>
      <c r="F122" s="315"/>
      <c r="G122" s="316"/>
      <c r="H122" s="315"/>
      <c r="I122" s="316"/>
      <c r="J122" s="315"/>
      <c r="K122" s="316"/>
      <c r="L122" s="315"/>
      <c r="M122" s="316"/>
    </row>
    <row r="123" spans="2:14">
      <c r="B123" s="359"/>
      <c r="C123" s="359"/>
      <c r="D123" s="315"/>
      <c r="E123" s="316"/>
      <c r="F123" s="315"/>
      <c r="G123" s="316"/>
      <c r="H123" s="315"/>
      <c r="I123" s="316"/>
      <c r="J123" s="315"/>
      <c r="K123" s="316"/>
      <c r="L123" s="315"/>
      <c r="M123" s="316"/>
    </row>
    <row r="124" spans="2:14">
      <c r="B124" s="359"/>
      <c r="C124" s="359"/>
      <c r="D124" s="136" t="s">
        <v>458</v>
      </c>
      <c r="E124" s="136" t="s">
        <v>459</v>
      </c>
      <c r="F124" s="136" t="s">
        <v>458</v>
      </c>
      <c r="G124" s="136" t="s">
        <v>459</v>
      </c>
      <c r="H124" s="136" t="s">
        <v>458</v>
      </c>
      <c r="I124" s="136" t="s">
        <v>459</v>
      </c>
      <c r="J124" s="136" t="s">
        <v>458</v>
      </c>
      <c r="K124" s="136" t="s">
        <v>459</v>
      </c>
      <c r="L124" s="136" t="s">
        <v>458</v>
      </c>
      <c r="M124" s="136" t="s">
        <v>459</v>
      </c>
    </row>
    <row r="125" spans="2:14">
      <c r="B125" s="22" t="s">
        <v>345</v>
      </c>
      <c r="C125" s="23" t="s">
        <v>298</v>
      </c>
      <c r="D125" s="139"/>
      <c r="E125" s="139"/>
      <c r="F125" s="139"/>
      <c r="G125" s="139"/>
      <c r="H125" s="139">
        <f>CEI!I109</f>
        <v>29609</v>
      </c>
      <c r="I125" s="139">
        <f>CEI!N109</f>
        <v>16090</v>
      </c>
      <c r="J125" s="139">
        <f>CEI!J109</f>
        <v>0</v>
      </c>
      <c r="K125" s="139">
        <f>CEI!M109</f>
        <v>0</v>
      </c>
      <c r="L125" s="139">
        <f>CEI!D109</f>
        <v>16090</v>
      </c>
      <c r="M125" s="139">
        <f>CEI!S109</f>
        <v>16323</v>
      </c>
      <c r="N125" s="151">
        <f t="shared" ref="N125:N132" si="42">D125+F125+H125+J125+L125-M125-K125-I125-G125-E125</f>
        <v>13286</v>
      </c>
    </row>
    <row r="126" spans="2:14">
      <c r="B126" s="22" t="s">
        <v>346</v>
      </c>
      <c r="C126" s="23" t="s">
        <v>300</v>
      </c>
      <c r="D126" s="139">
        <f>CEI!F110</f>
        <v>1792185</v>
      </c>
      <c r="E126" s="139"/>
      <c r="F126" s="139">
        <f>CEI!H110</f>
        <v>1576769</v>
      </c>
      <c r="G126" s="139">
        <f>CEI!O110</f>
        <v>443220</v>
      </c>
      <c r="H126" s="139">
        <f>CEI!I110</f>
        <v>912533</v>
      </c>
      <c r="I126" s="139">
        <f>CEI!N110</f>
        <v>4057241</v>
      </c>
      <c r="J126" s="139">
        <f>CEI!J110</f>
        <v>378304</v>
      </c>
      <c r="K126" s="139">
        <f>CEI!M110</f>
        <v>0</v>
      </c>
      <c r="L126" s="139">
        <f>CEI!D110</f>
        <v>2319</v>
      </c>
      <c r="M126" s="139">
        <f>CEI!S110</f>
        <v>161649</v>
      </c>
      <c r="N126" s="151">
        <f t="shared" si="42"/>
        <v>0</v>
      </c>
    </row>
    <row r="127" spans="2:14">
      <c r="B127" s="22" t="s">
        <v>350</v>
      </c>
      <c r="C127" s="23" t="s">
        <v>308</v>
      </c>
      <c r="D127" s="139">
        <f>CEI!F114</f>
        <v>855237</v>
      </c>
      <c r="E127" s="139"/>
      <c r="F127" s="139">
        <f>CEI!H114</f>
        <v>112465</v>
      </c>
      <c r="G127" s="139">
        <f>CEI!O114</f>
        <v>6665333</v>
      </c>
      <c r="H127" s="139">
        <f>CEI!I114</f>
        <v>8739111</v>
      </c>
      <c r="I127" s="139">
        <f>CEI!N114</f>
        <v>2443166</v>
      </c>
      <c r="J127" s="139">
        <f>CEI!J114</f>
        <v>645354</v>
      </c>
      <c r="K127" s="139">
        <f>CEI!M114</f>
        <v>672520</v>
      </c>
      <c r="L127" s="139">
        <f>CEI!D114</f>
        <v>806978</v>
      </c>
      <c r="M127" s="139">
        <f>CEI!S114</f>
        <v>1378125</v>
      </c>
      <c r="N127" s="151">
        <f t="shared" si="42"/>
        <v>1</v>
      </c>
    </row>
    <row r="128" spans="2:14">
      <c r="B128" s="22" t="s">
        <v>353</v>
      </c>
      <c r="C128" s="23" t="s">
        <v>314</v>
      </c>
      <c r="D128" s="139">
        <f>CEI!F117</f>
        <v>10581</v>
      </c>
      <c r="E128" s="139">
        <f>CEI!P117</f>
        <v>2373288</v>
      </c>
      <c r="F128" s="139">
        <f>CEI!H117</f>
        <v>1700645</v>
      </c>
      <c r="G128" s="139">
        <f>CEI!O117</f>
        <v>978251</v>
      </c>
      <c r="H128" s="139">
        <f>CEI!I117</f>
        <v>6190849</v>
      </c>
      <c r="I128" s="139">
        <f>CEI!N117</f>
        <v>3897485</v>
      </c>
      <c r="J128" s="139">
        <f>CEI!J117</f>
        <v>341018</v>
      </c>
      <c r="K128" s="139">
        <f>CEI!M117</f>
        <v>2228168</v>
      </c>
      <c r="L128" s="139">
        <f>CEI!D117</f>
        <v>1352369</v>
      </c>
      <c r="M128" s="139">
        <f>CEI!S117</f>
        <v>118268</v>
      </c>
      <c r="N128" s="151">
        <f t="shared" si="42"/>
        <v>2</v>
      </c>
    </row>
    <row r="129" spans="2:14">
      <c r="B129" s="22" t="s">
        <v>356</v>
      </c>
      <c r="C129" s="23" t="s">
        <v>318</v>
      </c>
      <c r="D129" s="139">
        <f>CEI!F120</f>
        <v>4290789</v>
      </c>
      <c r="E129" s="139"/>
      <c r="F129" s="139">
        <f>CEI!H120</f>
        <v>802684</v>
      </c>
      <c r="G129" s="139">
        <f>CEI!O120</f>
        <v>0</v>
      </c>
      <c r="H129" s="139">
        <f>CEI!I120</f>
        <v>11207969</v>
      </c>
      <c r="I129" s="139">
        <f>CEI!N120</f>
        <v>15197659</v>
      </c>
      <c r="J129" s="139">
        <f>CEI!J120</f>
        <v>4500296</v>
      </c>
      <c r="K129" s="139">
        <f>CEI!M120</f>
        <v>7955427</v>
      </c>
      <c r="L129" s="139">
        <f>CEI!D120</f>
        <v>4042053</v>
      </c>
      <c r="M129" s="139">
        <f>CEI!S120</f>
        <v>1690705</v>
      </c>
      <c r="N129" s="151">
        <f t="shared" si="42"/>
        <v>0</v>
      </c>
    </row>
    <row r="130" spans="2:14">
      <c r="B130" s="22" t="s">
        <v>361</v>
      </c>
      <c r="C130" s="23" t="s">
        <v>402</v>
      </c>
      <c r="D130" s="139">
        <f>CEI!F125</f>
        <v>2000046</v>
      </c>
      <c r="E130" s="139"/>
      <c r="F130" s="139">
        <f>CEI!H125</f>
        <v>0</v>
      </c>
      <c r="G130" s="139"/>
      <c r="H130" s="139">
        <f>CEI!I125</f>
        <v>21847</v>
      </c>
      <c r="I130" s="139">
        <f>CEI!N125</f>
        <v>2044095</v>
      </c>
      <c r="J130" s="139">
        <f>CEI!J125</f>
        <v>22202</v>
      </c>
      <c r="K130" s="139">
        <f>CEI!M125</f>
        <v>0</v>
      </c>
      <c r="L130" s="139">
        <f>CEI!D125</f>
        <v>0</v>
      </c>
      <c r="M130" s="139">
        <f>CEI!S125</f>
        <v>0</v>
      </c>
      <c r="N130" s="151">
        <f t="shared" si="42"/>
        <v>0</v>
      </c>
    </row>
    <row r="131" spans="2:14">
      <c r="B131" s="22" t="s">
        <v>365</v>
      </c>
      <c r="C131" s="23" t="s">
        <v>334</v>
      </c>
      <c r="D131" s="139">
        <f>CEI!F129</f>
        <v>1593</v>
      </c>
      <c r="E131" s="139">
        <f>CEI!P129</f>
        <v>1936</v>
      </c>
      <c r="F131" s="139">
        <f>CEI!H129</f>
        <v>0</v>
      </c>
      <c r="G131" s="139"/>
      <c r="H131" s="139">
        <f>CEI!I129</f>
        <v>120807</v>
      </c>
      <c r="I131" s="139">
        <f>CEI!N129</f>
        <v>128422</v>
      </c>
      <c r="J131" s="139">
        <f>CEI!J129</f>
        <v>29370</v>
      </c>
      <c r="K131" s="139">
        <f>CEI!M129</f>
        <v>15383</v>
      </c>
      <c r="L131" s="139">
        <f>CEI!D129</f>
        <v>1008</v>
      </c>
      <c r="M131" s="139">
        <f>CEI!S129</f>
        <v>7036</v>
      </c>
      <c r="N131" s="151">
        <f t="shared" si="42"/>
        <v>1</v>
      </c>
    </row>
    <row r="132" spans="2:14">
      <c r="B132" s="22" t="s">
        <v>366</v>
      </c>
      <c r="C132" s="23" t="s">
        <v>336</v>
      </c>
      <c r="D132" s="139">
        <f>CEI!F130</f>
        <v>97125</v>
      </c>
      <c r="E132" s="139">
        <f>CEI!P130</f>
        <v>34763</v>
      </c>
      <c r="F132" s="139">
        <f>CEI!H130</f>
        <v>4038</v>
      </c>
      <c r="G132" s="139">
        <f>CEI!O130</f>
        <v>41661</v>
      </c>
      <c r="H132" s="139">
        <f>CEI!I130</f>
        <v>1137901</v>
      </c>
      <c r="I132" s="139">
        <f>CEI!N130</f>
        <v>1399822</v>
      </c>
      <c r="J132" s="139">
        <f>CEI!J130</f>
        <v>800290</v>
      </c>
      <c r="K132" s="139">
        <f>CEI!M130</f>
        <v>946403</v>
      </c>
      <c r="L132" s="139">
        <f>CEI!D130</f>
        <v>569818</v>
      </c>
      <c r="M132" s="139">
        <f>CEI!S130</f>
        <v>186522</v>
      </c>
      <c r="N132" s="151">
        <f t="shared" si="42"/>
        <v>1</v>
      </c>
    </row>
    <row r="133" spans="2:14">
      <c r="D133" s="158">
        <f>SUM(D125:D132)-SUM(E125:E132)</f>
        <v>6637569</v>
      </c>
      <c r="F133" s="158">
        <f>SUM(F125:F132)-SUM(G125:G132)</f>
        <v>-3931864</v>
      </c>
      <c r="H133" s="158">
        <f>SUM(H125:H132)-SUM(I125:I132)</f>
        <v>-823354</v>
      </c>
      <c r="J133" s="158">
        <f>SUM(J125:J132)-SUM(K125:K132)</f>
        <v>-5101067</v>
      </c>
      <c r="L133" s="158">
        <f>SUM(L125:L132)-SUM(M125:M132)</f>
        <v>3232007</v>
      </c>
    </row>
    <row r="134" spans="2:14" ht="8.25" customHeight="1">
      <c r="B134" s="359" t="s">
        <v>581</v>
      </c>
      <c r="C134" s="359"/>
      <c r="D134" s="313" t="s">
        <v>2</v>
      </c>
      <c r="E134" s="314"/>
      <c r="F134" s="313" t="s">
        <v>293</v>
      </c>
      <c r="G134" s="314"/>
      <c r="H134" s="313" t="s">
        <v>266</v>
      </c>
      <c r="I134" s="314"/>
      <c r="J134" s="313" t="s">
        <v>265</v>
      </c>
      <c r="K134" s="314"/>
      <c r="L134" s="313" t="s">
        <v>412</v>
      </c>
      <c r="M134" s="314"/>
    </row>
    <row r="135" spans="2:14">
      <c r="B135" s="359"/>
      <c r="C135" s="359"/>
      <c r="D135" s="315"/>
      <c r="E135" s="316"/>
      <c r="F135" s="315"/>
      <c r="G135" s="316"/>
      <c r="H135" s="315"/>
      <c r="I135" s="316"/>
      <c r="J135" s="315"/>
      <c r="K135" s="316"/>
      <c r="L135" s="315"/>
      <c r="M135" s="316"/>
    </row>
    <row r="136" spans="2:14">
      <c r="B136" s="359"/>
      <c r="C136" s="359"/>
      <c r="D136" s="315"/>
      <c r="E136" s="316"/>
      <c r="F136" s="315"/>
      <c r="G136" s="316"/>
      <c r="H136" s="315"/>
      <c r="I136" s="316"/>
      <c r="J136" s="315"/>
      <c r="K136" s="316"/>
      <c r="L136" s="315"/>
      <c r="M136" s="316"/>
    </row>
    <row r="137" spans="2:14">
      <c r="B137" s="359"/>
      <c r="C137" s="359"/>
      <c r="D137" s="315"/>
      <c r="E137" s="316"/>
      <c r="F137" s="315"/>
      <c r="G137" s="316"/>
      <c r="H137" s="315"/>
      <c r="I137" s="316"/>
      <c r="J137" s="315"/>
      <c r="K137" s="316"/>
      <c r="L137" s="315"/>
      <c r="M137" s="316"/>
    </row>
    <row r="138" spans="2:14">
      <c r="B138" s="359"/>
      <c r="C138" s="359"/>
      <c r="D138" s="136" t="s">
        <v>458</v>
      </c>
      <c r="E138" s="136" t="s">
        <v>459</v>
      </c>
      <c r="F138" s="136" t="s">
        <v>458</v>
      </c>
      <c r="G138" s="136" t="s">
        <v>459</v>
      </c>
      <c r="H138" s="136" t="s">
        <v>458</v>
      </c>
      <c r="I138" s="136" t="s">
        <v>459</v>
      </c>
      <c r="J138" s="136" t="s">
        <v>458</v>
      </c>
      <c r="K138" s="136" t="s">
        <v>459</v>
      </c>
      <c r="L138" s="136" t="s">
        <v>458</v>
      </c>
      <c r="M138" s="136" t="s">
        <v>459</v>
      </c>
    </row>
    <row r="139" spans="2:14">
      <c r="B139" s="22" t="s">
        <v>345</v>
      </c>
      <c r="C139" s="23" t="s">
        <v>298</v>
      </c>
      <c r="D139" s="139">
        <f>IF(D125&gt;E125,D125-E125,0)</f>
        <v>0</v>
      </c>
      <c r="E139" s="139">
        <f>IF(D125&lt;E125,-D125+E125,0)</f>
        <v>0</v>
      </c>
      <c r="F139" s="139">
        <f>IF(F125&gt;G125,F125-G125,0)</f>
        <v>0</v>
      </c>
      <c r="G139" s="139">
        <f>IF(F125&lt;G125,-F125+G125,0)</f>
        <v>0</v>
      </c>
      <c r="H139" s="139">
        <f>IF(H125&gt;I125,H125-I125,0)</f>
        <v>13519</v>
      </c>
      <c r="I139" s="139">
        <f>IF(H125&lt;I125,-H125+I125,0)</f>
        <v>0</v>
      </c>
      <c r="J139" s="139">
        <f>IF(J125&gt;K125,J125-K125,0)</f>
        <v>0</v>
      </c>
      <c r="K139" s="139">
        <f>IF(J125&lt;K125,-J125+K125,0)</f>
        <v>0</v>
      </c>
      <c r="L139" s="139">
        <f>IF(L125&gt;M125,L125-M125,0)</f>
        <v>0</v>
      </c>
      <c r="M139" s="139">
        <f>IF(L125&lt;M125,-L125+M125,0)</f>
        <v>233</v>
      </c>
      <c r="N139" s="151">
        <f t="shared" ref="N139:N147" si="43">D139+F139+H139+J139+L139-M139-K139-I139-G139-E139</f>
        <v>13286</v>
      </c>
    </row>
    <row r="140" spans="2:14">
      <c r="B140" s="22" t="s">
        <v>346</v>
      </c>
      <c r="C140" s="23" t="s">
        <v>300</v>
      </c>
      <c r="D140" s="139">
        <f>IF(D126&gt;E126,D126-E126,0)</f>
        <v>1792185</v>
      </c>
      <c r="E140" s="139">
        <f>IF(D126&lt;E126,-D126+E126,0)</f>
        <v>0</v>
      </c>
      <c r="F140" s="139">
        <f>F126-G126</f>
        <v>1133549</v>
      </c>
      <c r="G140" s="139">
        <f>IF(F126&lt;G126,-F126+G126,0)</f>
        <v>0</v>
      </c>
      <c r="H140" s="139">
        <f>IF(H126&gt;I126,H126-I126,0)</f>
        <v>0</v>
      </c>
      <c r="I140" s="139">
        <f>I126-H126</f>
        <v>3144708</v>
      </c>
      <c r="J140" s="139">
        <f>IF(J126&gt;K126,J126-K126,0)</f>
        <v>378304</v>
      </c>
      <c r="K140" s="139">
        <f>IF(J126&lt;K126,-J126+K126,0)</f>
        <v>0</v>
      </c>
      <c r="L140" s="139">
        <f>IF(L126&gt;M126,L126-M126,0)</f>
        <v>0</v>
      </c>
      <c r="M140" s="139">
        <f>M126-L126</f>
        <v>159330</v>
      </c>
      <c r="N140" s="151">
        <f t="shared" si="43"/>
        <v>0</v>
      </c>
    </row>
    <row r="141" spans="2:14">
      <c r="B141" s="22" t="s">
        <v>350</v>
      </c>
      <c r="C141" s="23" t="s">
        <v>582</v>
      </c>
      <c r="D141" s="139">
        <f>SUM(D127:D128)+D132</f>
        <v>962943</v>
      </c>
      <c r="E141" s="139">
        <f>SUM(E127:E128)+E132</f>
        <v>2408051</v>
      </c>
      <c r="F141" s="139">
        <f>SUM(F127:F128)+F132</f>
        <v>1817148</v>
      </c>
      <c r="G141" s="139">
        <f t="shared" ref="G141:M141" si="44">SUM(G127:G128)+G132</f>
        <v>7685245</v>
      </c>
      <c r="H141" s="139">
        <f t="shared" si="44"/>
        <v>16067861</v>
      </c>
      <c r="I141" s="139">
        <f t="shared" si="44"/>
        <v>7740473</v>
      </c>
      <c r="J141" s="139">
        <f t="shared" si="44"/>
        <v>1786662</v>
      </c>
      <c r="K141" s="139">
        <f t="shared" si="44"/>
        <v>3847091</v>
      </c>
      <c r="L141" s="139">
        <f t="shared" si="44"/>
        <v>2729165</v>
      </c>
      <c r="M141" s="139">
        <f t="shared" si="44"/>
        <v>1682915</v>
      </c>
      <c r="N141" s="151">
        <f t="shared" si="43"/>
        <v>4</v>
      </c>
    </row>
    <row r="142" spans="2:14">
      <c r="B142" s="22" t="s">
        <v>353</v>
      </c>
      <c r="C142" s="23" t="s">
        <v>314</v>
      </c>
      <c r="N142" s="151">
        <f t="shared" si="43"/>
        <v>0</v>
      </c>
    </row>
    <row r="143" spans="2:14">
      <c r="B143" s="22" t="s">
        <v>356</v>
      </c>
      <c r="C143" s="23" t="s">
        <v>318</v>
      </c>
      <c r="D143" s="139">
        <f>D129+F129</f>
        <v>5093473</v>
      </c>
      <c r="E143" s="139"/>
      <c r="F143" s="139"/>
      <c r="G143" s="139"/>
      <c r="H143" s="139"/>
      <c r="I143" s="139">
        <f>I129-H129</f>
        <v>3989690</v>
      </c>
      <c r="J143" s="139"/>
      <c r="K143" s="139">
        <f>(K129-J129)</f>
        <v>3455131</v>
      </c>
      <c r="L143" s="139">
        <f>L129-M129</f>
        <v>2351348</v>
      </c>
      <c r="M143" s="139"/>
      <c r="N143" s="151">
        <f t="shared" si="43"/>
        <v>0</v>
      </c>
    </row>
    <row r="144" spans="2:14">
      <c r="B144" s="22" t="s">
        <v>361</v>
      </c>
      <c r="C144" s="23" t="s">
        <v>402</v>
      </c>
      <c r="D144" s="139">
        <f>D130</f>
        <v>2000046</v>
      </c>
      <c r="E144" s="139"/>
      <c r="F144" s="139"/>
      <c r="G144" s="139"/>
      <c r="H144" s="139"/>
      <c r="I144" s="139">
        <f>I130-H130-J130</f>
        <v>2000046</v>
      </c>
      <c r="J144" s="139"/>
      <c r="K144" s="139"/>
      <c r="L144" s="139"/>
      <c r="M144" s="139"/>
      <c r="N144" s="151">
        <f t="shared" si="43"/>
        <v>0</v>
      </c>
    </row>
    <row r="145" spans="2:14">
      <c r="B145" s="22" t="s">
        <v>365</v>
      </c>
      <c r="C145" s="23" t="s">
        <v>334</v>
      </c>
      <c r="D145" s="254"/>
      <c r="E145" s="139"/>
      <c r="F145" s="139"/>
      <c r="G145" s="139"/>
      <c r="H145" s="139"/>
      <c r="I145" s="139"/>
      <c r="J145" s="139"/>
      <c r="K145" s="139"/>
      <c r="L145" s="139"/>
      <c r="M145" s="139"/>
      <c r="N145" s="151">
        <f t="shared" si="43"/>
        <v>0</v>
      </c>
    </row>
    <row r="146" spans="2:14">
      <c r="B146" s="22" t="s">
        <v>366</v>
      </c>
      <c r="C146" s="23" t="s">
        <v>336</v>
      </c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51">
        <f t="shared" si="43"/>
        <v>0</v>
      </c>
    </row>
    <row r="147" spans="2:14">
      <c r="D147" s="158">
        <f>SUM(D139:D146)-SUM(E139:E146)</f>
        <v>7440596</v>
      </c>
      <c r="F147" s="158">
        <f>SUM(F139:F146)-SUM(G139:G146)</f>
        <v>-4734548</v>
      </c>
      <c r="H147" s="158">
        <f>SUM(H139:H146)-SUM(I139:I146)</f>
        <v>-793537</v>
      </c>
      <c r="J147" s="158">
        <f>SUM(J139:J146)-SUM(K139:K146)</f>
        <v>-5137256</v>
      </c>
      <c r="L147" s="158">
        <f>SUM(L139:L146)-SUM(M139:M146)</f>
        <v>3238035</v>
      </c>
      <c r="N147" s="151">
        <f t="shared" si="43"/>
        <v>13290</v>
      </c>
    </row>
    <row r="148" spans="2:14">
      <c r="D148" s="158"/>
      <c r="F148" s="158"/>
      <c r="H148" s="158"/>
      <c r="J148" s="158"/>
      <c r="L148" s="158"/>
      <c r="N148" s="151"/>
    </row>
    <row r="149" spans="2:14">
      <c r="D149" s="254">
        <f>D87/D143</f>
        <v>0.37080200484031228</v>
      </c>
      <c r="E149" s="254"/>
      <c r="F149" s="254"/>
      <c r="G149" s="254"/>
      <c r="H149" s="254"/>
      <c r="I149" s="254">
        <f>I87/I143</f>
        <v>3.8411505655827897E-2</v>
      </c>
      <c r="J149" s="254"/>
      <c r="K149" s="254">
        <f>(K54-J54)/K143</f>
        <v>0.17168408375832928</v>
      </c>
      <c r="L149" s="254">
        <f>L87/L143</f>
        <v>3.6449730112259007E-2</v>
      </c>
      <c r="M149" s="254"/>
      <c r="N149" s="151"/>
    </row>
    <row r="150" spans="2:14">
      <c r="D150" s="254"/>
      <c r="E150" s="254"/>
      <c r="F150" s="254"/>
      <c r="G150" s="254"/>
      <c r="H150" s="254"/>
      <c r="I150" s="254"/>
      <c r="J150" s="254"/>
      <c r="K150" s="254"/>
      <c r="L150" s="254"/>
      <c r="M150" s="254"/>
      <c r="N150" s="151"/>
    </row>
    <row r="151" spans="2:14">
      <c r="C151" s="37" t="s">
        <v>583</v>
      </c>
      <c r="D151" s="289">
        <f>D86+F86+H86+J86+L86</f>
        <v>2028056</v>
      </c>
      <c r="E151" s="289"/>
      <c r="F151" s="254"/>
      <c r="G151" s="254"/>
      <c r="H151" s="254"/>
      <c r="I151" s="254"/>
      <c r="J151" s="254"/>
      <c r="K151" s="254"/>
      <c r="L151" s="254"/>
      <c r="M151" s="254"/>
      <c r="N151" s="151"/>
    </row>
    <row r="152" spans="2:14">
      <c r="C152" s="37" t="s">
        <v>588</v>
      </c>
      <c r="D152" s="289">
        <f>D141+F141+H141+J141+L141</f>
        <v>23363779</v>
      </c>
      <c r="E152" s="254"/>
      <c r="F152" s="254"/>
      <c r="G152" s="254"/>
      <c r="H152" s="254"/>
      <c r="I152" s="254"/>
      <c r="J152" s="254"/>
      <c r="K152" s="254"/>
      <c r="L152" s="254"/>
      <c r="M152" s="254"/>
      <c r="N152" s="151"/>
    </row>
    <row r="153" spans="2:14">
      <c r="D153" s="254">
        <f>D151/D152</f>
        <v>8.6803423367426996E-2</v>
      </c>
      <c r="E153" s="254"/>
      <c r="F153" s="254"/>
      <c r="G153" s="254"/>
      <c r="H153" s="254"/>
      <c r="I153" s="254"/>
      <c r="J153" s="254"/>
      <c r="K153" s="254"/>
      <c r="L153" s="254"/>
      <c r="M153" s="254"/>
      <c r="N153" s="151"/>
    </row>
    <row r="154" spans="2:14">
      <c r="D154" s="254"/>
      <c r="E154" s="254"/>
      <c r="F154" s="254"/>
      <c r="G154" s="254"/>
      <c r="H154" s="254"/>
      <c r="I154" s="254"/>
      <c r="J154" s="254"/>
      <c r="K154" s="254"/>
      <c r="L154" s="254"/>
      <c r="M154" s="254"/>
      <c r="N154" s="151"/>
    </row>
    <row r="155" spans="2:14">
      <c r="C155" t="s">
        <v>589</v>
      </c>
      <c r="D155" s="289">
        <f>D87+L87</f>
        <v>1974376</v>
      </c>
      <c r="E155" s="254"/>
      <c r="F155" s="254"/>
      <c r="G155" s="254"/>
      <c r="H155" s="254"/>
      <c r="I155" s="254"/>
      <c r="J155" s="254"/>
      <c r="K155" s="254"/>
      <c r="L155" s="254"/>
      <c r="M155" s="254"/>
      <c r="N155" s="151"/>
    </row>
    <row r="156" spans="2:14">
      <c r="C156" s="23" t="s">
        <v>318</v>
      </c>
      <c r="D156" s="289">
        <f>D143+L143</f>
        <v>7444821</v>
      </c>
      <c r="E156" s="254"/>
      <c r="F156" s="254"/>
      <c r="G156" s="254"/>
      <c r="H156" s="254"/>
      <c r="I156" s="254"/>
      <c r="J156" s="254"/>
      <c r="K156" s="254"/>
      <c r="L156" s="254"/>
      <c r="M156" s="254"/>
      <c r="N156" s="151"/>
    </row>
    <row r="157" spans="2:14">
      <c r="D157" s="254">
        <f>D155/D156</f>
        <v>0.26520127213266781</v>
      </c>
      <c r="E157" s="254"/>
      <c r="F157" s="254"/>
      <c r="G157" s="254"/>
      <c r="H157" s="254"/>
      <c r="I157" s="254"/>
      <c r="J157" s="254"/>
      <c r="K157" s="254"/>
      <c r="L157" s="254"/>
      <c r="M157" s="254"/>
      <c r="N157" s="151"/>
    </row>
    <row r="158" spans="2:14">
      <c r="D158" s="254"/>
      <c r="E158" s="254"/>
      <c r="F158" s="254"/>
      <c r="G158" s="254"/>
      <c r="H158" s="254"/>
      <c r="I158" s="254"/>
      <c r="J158" s="254"/>
      <c r="K158" s="254"/>
      <c r="L158" s="254"/>
      <c r="M158" s="254"/>
      <c r="N158" s="151"/>
    </row>
    <row r="159" spans="2:14"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151"/>
    </row>
    <row r="160" spans="2:14">
      <c r="C160" t="s">
        <v>586</v>
      </c>
      <c r="D160" s="289">
        <f t="shared" ref="D160:M160" si="45">D86</f>
        <v>249546</v>
      </c>
      <c r="E160" s="289">
        <f t="shared" si="45"/>
        <v>205143</v>
      </c>
      <c r="F160" s="289">
        <f t="shared" si="45"/>
        <v>191053</v>
      </c>
      <c r="G160" s="289">
        <f t="shared" si="45"/>
        <v>446981</v>
      </c>
      <c r="H160" s="289">
        <f t="shared" si="45"/>
        <v>1235025</v>
      </c>
      <c r="I160" s="289">
        <f t="shared" si="45"/>
        <v>1060460</v>
      </c>
      <c r="J160" s="289">
        <f t="shared" si="45"/>
        <v>246213</v>
      </c>
      <c r="K160" s="289">
        <f t="shared" si="45"/>
        <v>282899</v>
      </c>
      <c r="L160" s="289">
        <f t="shared" si="45"/>
        <v>106219</v>
      </c>
      <c r="M160" s="289">
        <f t="shared" si="45"/>
        <v>32573</v>
      </c>
      <c r="N160" s="151">
        <f>D160+F160+H160+J160+L160-M160-K160-I160-G160-E160</f>
        <v>0</v>
      </c>
    </row>
    <row r="161" spans="2:14">
      <c r="C161" t="s">
        <v>590</v>
      </c>
      <c r="D161" s="254">
        <f t="shared" ref="D161:M161" si="46">D160/(D141+D140)</f>
        <v>9.0575102136815425E-2</v>
      </c>
      <c r="E161" s="254">
        <f t="shared" si="46"/>
        <v>8.5190471464267156E-2</v>
      </c>
      <c r="F161" s="254">
        <f t="shared" si="46"/>
        <v>6.4748430625035366E-2</v>
      </c>
      <c r="G161" s="254">
        <f t="shared" si="46"/>
        <v>5.8160930458300286E-2</v>
      </c>
      <c r="H161" s="254">
        <f t="shared" si="46"/>
        <v>7.6863062233361368E-2</v>
      </c>
      <c r="I161" s="254">
        <f t="shared" si="46"/>
        <v>9.7422357974571119E-2</v>
      </c>
      <c r="J161" s="254">
        <f t="shared" si="46"/>
        <v>0.11372603542041769</v>
      </c>
      <c r="K161" s="254">
        <f t="shared" si="46"/>
        <v>7.3535822261547756E-2</v>
      </c>
      <c r="L161" s="254">
        <f t="shared" si="46"/>
        <v>3.8919962699213863E-2</v>
      </c>
      <c r="M161" s="254">
        <f t="shared" si="46"/>
        <v>1.7681144473183533E-2</v>
      </c>
      <c r="N161" s="151">
        <f>D161+F161+H161+J161+L161-M161-K161-I161-G161-E161</f>
        <v>5.2841866482973912E-2</v>
      </c>
    </row>
    <row r="162" spans="2:14">
      <c r="C162" t="s">
        <v>591</v>
      </c>
      <c r="D162" s="254">
        <f t="shared" ref="D162:M162" si="47">D160/SUM($D$160:$M$160)</f>
        <v>6.1523449056633546E-2</v>
      </c>
      <c r="E162" s="254">
        <f t="shared" si="47"/>
        <v>5.0576266138607613E-2</v>
      </c>
      <c r="F162" s="254">
        <f t="shared" si="47"/>
        <v>4.7102496183537339E-2</v>
      </c>
      <c r="G162" s="254">
        <f t="shared" si="47"/>
        <v>0.1101993731928507</v>
      </c>
      <c r="H162" s="254">
        <f t="shared" si="47"/>
        <v>0.30448493532722964</v>
      </c>
      <c r="I162" s="254">
        <f t="shared" si="47"/>
        <v>0.26144741565321666</v>
      </c>
      <c r="J162" s="254">
        <f t="shared" si="47"/>
        <v>6.0701726185075758E-2</v>
      </c>
      <c r="K162" s="254">
        <f t="shared" si="47"/>
        <v>6.9746348227070654E-2</v>
      </c>
      <c r="L162" s="254">
        <f t="shared" si="47"/>
        <v>2.6187393247523737E-2</v>
      </c>
      <c r="M162" s="254">
        <f t="shared" si="47"/>
        <v>8.0305967882543672E-3</v>
      </c>
      <c r="N162" s="151">
        <f>D162+F162+H162+J162+L162-M162-K162-I162-G162-E162</f>
        <v>0</v>
      </c>
    </row>
    <row r="163" spans="2:14">
      <c r="C163" t="s">
        <v>592</v>
      </c>
      <c r="D163" s="139">
        <f t="shared" ref="D163:M163" si="48">D162*$D$152</f>
        <v>1437420.2670769447</v>
      </c>
      <c r="E163" s="139">
        <f t="shared" si="48"/>
        <v>1181652.7047076116</v>
      </c>
      <c r="F163" s="139">
        <f t="shared" si="48"/>
        <v>1100492.3111805099</v>
      </c>
      <c r="G163" s="139">
        <f t="shared" si="48"/>
        <v>2574673.801216288</v>
      </c>
      <c r="H163" s="139">
        <f t="shared" si="48"/>
        <v>7113918.7378146863</v>
      </c>
      <c r="I163" s="139">
        <f t="shared" si="48"/>
        <v>6108399.6394428946</v>
      </c>
      <c r="J163" s="139">
        <f t="shared" si="48"/>
        <v>1418221.715506623</v>
      </c>
      <c r="K163" s="139">
        <f t="shared" si="48"/>
        <v>1629538.2660343205</v>
      </c>
      <c r="L163" s="139">
        <f t="shared" si="48"/>
        <v>611836.46842123684</v>
      </c>
      <c r="M163" s="139">
        <f t="shared" si="48"/>
        <v>187625.08859888485</v>
      </c>
      <c r="N163" s="151">
        <f>D163+F163+H163+J163+L163-M163-K163-I163-G163-E163</f>
        <v>0</v>
      </c>
    </row>
    <row r="164" spans="2:14">
      <c r="D164" s="254"/>
      <c r="E164" s="254"/>
      <c r="F164" s="254"/>
      <c r="G164" s="254"/>
      <c r="H164" s="254"/>
      <c r="I164" s="254"/>
      <c r="J164" s="254"/>
      <c r="K164" s="254"/>
      <c r="L164" s="254"/>
      <c r="M164" s="254"/>
    </row>
    <row r="165" spans="2:14">
      <c r="C165" s="133" t="s">
        <v>408</v>
      </c>
      <c r="D165" s="289">
        <f>D87</f>
        <v>1888670</v>
      </c>
      <c r="E165" s="289">
        <f t="shared" ref="E165:M165" si="49">E87</f>
        <v>0</v>
      </c>
      <c r="F165" s="289">
        <f t="shared" si="49"/>
        <v>0</v>
      </c>
      <c r="G165" s="289">
        <f t="shared" si="49"/>
        <v>0</v>
      </c>
      <c r="H165" s="289">
        <f t="shared" si="49"/>
        <v>0</v>
      </c>
      <c r="I165" s="289">
        <f t="shared" si="49"/>
        <v>153250</v>
      </c>
      <c r="J165" s="289">
        <f t="shared" si="49"/>
        <v>0</v>
      </c>
      <c r="K165" s="289">
        <f t="shared" si="49"/>
        <v>1821126</v>
      </c>
      <c r="L165" s="289">
        <f t="shared" si="49"/>
        <v>85706</v>
      </c>
      <c r="M165" s="289">
        <f t="shared" si="49"/>
        <v>0</v>
      </c>
    </row>
    <row r="166" spans="2:14">
      <c r="D166" s="254">
        <f>D165/SUM($D$165:$M$165)</f>
        <v>0.47829542093299349</v>
      </c>
      <c r="E166" s="254">
        <f t="shared" ref="E166:M166" si="50">E165/SUM($D$165:$M$165)</f>
        <v>0</v>
      </c>
      <c r="F166" s="254">
        <f t="shared" si="50"/>
        <v>0</v>
      </c>
      <c r="G166" s="254">
        <f t="shared" si="50"/>
        <v>0</v>
      </c>
      <c r="H166" s="254">
        <f t="shared" si="50"/>
        <v>0</v>
      </c>
      <c r="I166" s="254">
        <f t="shared" si="50"/>
        <v>3.8809730264144214E-2</v>
      </c>
      <c r="J166" s="254">
        <f t="shared" si="50"/>
        <v>0</v>
      </c>
      <c r="K166" s="254">
        <f t="shared" si="50"/>
        <v>0.46119026973585581</v>
      </c>
      <c r="L166" s="254">
        <f t="shared" si="50"/>
        <v>2.1704579067006489E-2</v>
      </c>
      <c r="M166" s="254">
        <f t="shared" si="50"/>
        <v>0</v>
      </c>
    </row>
    <row r="167" spans="2:14">
      <c r="D167" s="139">
        <f>D166*$D$156</f>
        <v>3560823.7939657895</v>
      </c>
      <c r="E167" s="139">
        <f t="shared" ref="E167:M167" si="51">E166*$D$156</f>
        <v>0</v>
      </c>
      <c r="F167" s="139">
        <f t="shared" si="51"/>
        <v>0</v>
      </c>
      <c r="G167" s="139">
        <f t="shared" si="51"/>
        <v>0</v>
      </c>
      <c r="H167" s="139">
        <f t="shared" si="51"/>
        <v>0</v>
      </c>
      <c r="I167" s="139">
        <f t="shared" si="51"/>
        <v>288931.49487483641</v>
      </c>
      <c r="J167" s="139">
        <f t="shared" si="51"/>
        <v>0</v>
      </c>
      <c r="K167" s="139">
        <f t="shared" si="51"/>
        <v>3433479.0051251636</v>
      </c>
      <c r="L167" s="139">
        <f>L166*$D$156</f>
        <v>161586.70603421031</v>
      </c>
      <c r="M167" s="139">
        <f t="shared" si="51"/>
        <v>0</v>
      </c>
    </row>
    <row r="168" spans="2:14"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</row>
    <row r="169" spans="2:14">
      <c r="B169" s="359" t="s">
        <v>584</v>
      </c>
      <c r="C169" s="359"/>
      <c r="D169" s="313" t="s">
        <v>2</v>
      </c>
      <c r="E169" s="314"/>
      <c r="F169" s="313" t="s">
        <v>293</v>
      </c>
      <c r="G169" s="314"/>
      <c r="H169" s="313" t="s">
        <v>266</v>
      </c>
      <c r="I169" s="314"/>
      <c r="J169" s="313" t="s">
        <v>265</v>
      </c>
      <c r="K169" s="314"/>
      <c r="L169" s="313" t="s">
        <v>412</v>
      </c>
      <c r="M169" s="314"/>
    </row>
    <row r="170" spans="2:14">
      <c r="B170" s="359"/>
      <c r="C170" s="359"/>
      <c r="D170" s="315"/>
      <c r="E170" s="316"/>
      <c r="F170" s="315"/>
      <c r="G170" s="316"/>
      <c r="H170" s="315"/>
      <c r="I170" s="316"/>
      <c r="J170" s="315"/>
      <c r="K170" s="316"/>
      <c r="L170" s="315"/>
      <c r="M170" s="316"/>
    </row>
    <row r="171" spans="2:14">
      <c r="B171" s="359"/>
      <c r="C171" s="359"/>
      <c r="D171" s="315"/>
      <c r="E171" s="316"/>
      <c r="F171" s="315"/>
      <c r="G171" s="316"/>
      <c r="H171" s="315"/>
      <c r="I171" s="316"/>
      <c r="J171" s="315"/>
      <c r="K171" s="316"/>
      <c r="L171" s="315"/>
      <c r="M171" s="316"/>
    </row>
    <row r="172" spans="2:14">
      <c r="B172" s="359"/>
      <c r="C172" s="359"/>
      <c r="D172" s="315"/>
      <c r="E172" s="316"/>
      <c r="F172" s="315"/>
      <c r="G172" s="316"/>
      <c r="H172" s="315"/>
      <c r="I172" s="316"/>
      <c r="J172" s="315"/>
      <c r="K172" s="316"/>
      <c r="L172" s="315"/>
      <c r="M172" s="316"/>
    </row>
    <row r="173" spans="2:14">
      <c r="B173" s="359"/>
      <c r="C173" s="359"/>
      <c r="D173" s="136" t="s">
        <v>458</v>
      </c>
      <c r="E173" s="136" t="s">
        <v>459</v>
      </c>
      <c r="F173" s="136" t="s">
        <v>458</v>
      </c>
      <c r="G173" s="136" t="s">
        <v>459</v>
      </c>
      <c r="H173" s="136" t="s">
        <v>458</v>
      </c>
      <c r="I173" s="136" t="s">
        <v>459</v>
      </c>
      <c r="J173" s="136" t="s">
        <v>458</v>
      </c>
      <c r="K173" s="136" t="s">
        <v>459</v>
      </c>
      <c r="L173" s="136" t="s">
        <v>458</v>
      </c>
      <c r="M173" s="136" t="s">
        <v>459</v>
      </c>
    </row>
    <row r="174" spans="2:14">
      <c r="B174" s="22" t="s">
        <v>345</v>
      </c>
      <c r="C174" s="23" t="s">
        <v>298</v>
      </c>
      <c r="D174" s="139">
        <f t="shared" ref="D174:M174" si="52">D139</f>
        <v>0</v>
      </c>
      <c r="E174" s="139">
        <f t="shared" si="52"/>
        <v>0</v>
      </c>
      <c r="F174" s="139">
        <f t="shared" si="52"/>
        <v>0</v>
      </c>
      <c r="G174" s="139">
        <f t="shared" si="52"/>
        <v>0</v>
      </c>
      <c r="H174" s="139">
        <f t="shared" si="52"/>
        <v>13519</v>
      </c>
      <c r="I174" s="139">
        <f t="shared" si="52"/>
        <v>0</v>
      </c>
      <c r="J174" s="139">
        <f t="shared" si="52"/>
        <v>0</v>
      </c>
      <c r="K174" s="139">
        <f t="shared" si="52"/>
        <v>0</v>
      </c>
      <c r="L174" s="139">
        <f t="shared" si="52"/>
        <v>0</v>
      </c>
      <c r="M174" s="139">
        <f t="shared" si="52"/>
        <v>233</v>
      </c>
      <c r="N174" s="151">
        <f t="shared" ref="N174:N181" si="53">D174+F174+H174+J174+L174-M174-K174-I174-G174-E174</f>
        <v>13286</v>
      </c>
    </row>
    <row r="175" spans="2:14">
      <c r="B175" s="22" t="s">
        <v>346</v>
      </c>
      <c r="C175" s="23" t="s">
        <v>300</v>
      </c>
      <c r="D175" s="139">
        <f t="shared" ref="D175:M175" si="54">D140</f>
        <v>1792185</v>
      </c>
      <c r="E175" s="139">
        <f t="shared" si="54"/>
        <v>0</v>
      </c>
      <c r="F175" s="139">
        <f t="shared" si="54"/>
        <v>1133549</v>
      </c>
      <c r="G175" s="139">
        <f t="shared" si="54"/>
        <v>0</v>
      </c>
      <c r="H175" s="139">
        <f t="shared" si="54"/>
        <v>0</v>
      </c>
      <c r="I175" s="139">
        <f t="shared" si="54"/>
        <v>3144708</v>
      </c>
      <c r="J175" s="139">
        <f t="shared" si="54"/>
        <v>378304</v>
      </c>
      <c r="K175" s="139">
        <f t="shared" si="54"/>
        <v>0</v>
      </c>
      <c r="L175" s="139">
        <f t="shared" si="54"/>
        <v>0</v>
      </c>
      <c r="M175" s="139">
        <f t="shared" si="54"/>
        <v>159330</v>
      </c>
      <c r="N175" s="151">
        <f t="shared" si="53"/>
        <v>0</v>
      </c>
    </row>
    <row r="176" spans="2:14">
      <c r="B176" s="22" t="s">
        <v>350</v>
      </c>
      <c r="C176" s="23" t="s">
        <v>582</v>
      </c>
      <c r="D176" s="139">
        <f>D163</f>
        <v>1437420.2670769447</v>
      </c>
      <c r="E176" s="139">
        <f>E163</f>
        <v>1181652.7047076116</v>
      </c>
      <c r="F176" s="139">
        <f t="shared" ref="F176:M176" si="55">F163</f>
        <v>1100492.3111805099</v>
      </c>
      <c r="G176" s="139">
        <f>G163</f>
        <v>2574673.801216288</v>
      </c>
      <c r="H176" s="139">
        <f>H163</f>
        <v>7113918.7378146863</v>
      </c>
      <c r="I176" s="139">
        <f>I163</f>
        <v>6108399.6394428946</v>
      </c>
      <c r="J176" s="139">
        <f t="shared" si="55"/>
        <v>1418221.715506623</v>
      </c>
      <c r="K176" s="139">
        <f t="shared" si="55"/>
        <v>1629538.2660343205</v>
      </c>
      <c r="L176" s="139">
        <f t="shared" si="55"/>
        <v>611836.46842123684</v>
      </c>
      <c r="M176" s="139">
        <f t="shared" si="55"/>
        <v>187625.08859888485</v>
      </c>
      <c r="N176" s="151">
        <f t="shared" si="53"/>
        <v>0</v>
      </c>
    </row>
    <row r="177" spans="2:19">
      <c r="B177" s="22" t="s">
        <v>353</v>
      </c>
      <c r="C177" s="23" t="s">
        <v>314</v>
      </c>
      <c r="D177" s="139">
        <f t="shared" ref="D177:M177" si="56">D142</f>
        <v>0</v>
      </c>
      <c r="E177" s="139">
        <f t="shared" si="56"/>
        <v>0</v>
      </c>
      <c r="F177" s="139">
        <f t="shared" si="56"/>
        <v>0</v>
      </c>
      <c r="G177" s="139">
        <f t="shared" si="56"/>
        <v>0</v>
      </c>
      <c r="H177" s="139">
        <f t="shared" si="56"/>
        <v>0</v>
      </c>
      <c r="I177" s="139">
        <f t="shared" si="56"/>
        <v>0</v>
      </c>
      <c r="J177" s="139">
        <f t="shared" si="56"/>
        <v>0</v>
      </c>
      <c r="K177" s="139">
        <f t="shared" si="56"/>
        <v>0</v>
      </c>
      <c r="L177" s="139">
        <f t="shared" si="56"/>
        <v>0</v>
      </c>
      <c r="M177" s="139">
        <f t="shared" si="56"/>
        <v>0</v>
      </c>
      <c r="N177" s="151">
        <f t="shared" si="53"/>
        <v>0</v>
      </c>
    </row>
    <row r="178" spans="2:19">
      <c r="B178" s="22" t="s">
        <v>356</v>
      </c>
      <c r="C178" s="23" t="s">
        <v>318</v>
      </c>
      <c r="D178" s="139">
        <f>D167</f>
        <v>3560823.7939657895</v>
      </c>
      <c r="E178" s="139">
        <f t="shared" ref="E178:M178" si="57">E167</f>
        <v>0</v>
      </c>
      <c r="F178" s="139">
        <f t="shared" si="57"/>
        <v>0</v>
      </c>
      <c r="G178" s="139">
        <f t="shared" si="57"/>
        <v>0</v>
      </c>
      <c r="H178" s="139">
        <f t="shared" si="57"/>
        <v>0</v>
      </c>
      <c r="I178" s="139">
        <f t="shared" si="57"/>
        <v>288931.49487483641</v>
      </c>
      <c r="J178" s="139">
        <f t="shared" si="57"/>
        <v>0</v>
      </c>
      <c r="K178" s="139">
        <f t="shared" si="57"/>
        <v>3433479.0051251636</v>
      </c>
      <c r="L178" s="139">
        <f t="shared" si="57"/>
        <v>161586.70603421031</v>
      </c>
      <c r="M178" s="139">
        <f t="shared" si="57"/>
        <v>0</v>
      </c>
      <c r="N178" s="151">
        <f t="shared" si="53"/>
        <v>0</v>
      </c>
    </row>
    <row r="179" spans="2:19">
      <c r="B179" s="22" t="s">
        <v>361</v>
      </c>
      <c r="C179" s="23" t="s">
        <v>402</v>
      </c>
      <c r="D179" s="139">
        <f t="shared" ref="D179:M179" si="58">D144</f>
        <v>2000046</v>
      </c>
      <c r="E179" s="139">
        <f t="shared" si="58"/>
        <v>0</v>
      </c>
      <c r="F179" s="139">
        <f t="shared" si="58"/>
        <v>0</v>
      </c>
      <c r="G179" s="139">
        <f t="shared" si="58"/>
        <v>0</v>
      </c>
      <c r="H179" s="139">
        <f t="shared" si="58"/>
        <v>0</v>
      </c>
      <c r="I179" s="139">
        <f t="shared" si="58"/>
        <v>2000046</v>
      </c>
      <c r="J179" s="139">
        <f t="shared" si="58"/>
        <v>0</v>
      </c>
      <c r="K179" s="139">
        <f t="shared" si="58"/>
        <v>0</v>
      </c>
      <c r="L179" s="139">
        <f t="shared" si="58"/>
        <v>0</v>
      </c>
      <c r="M179" s="139">
        <f t="shared" si="58"/>
        <v>0</v>
      </c>
      <c r="N179" s="151">
        <f t="shared" si="53"/>
        <v>0</v>
      </c>
    </row>
    <row r="180" spans="2:19" ht="11.25">
      <c r="B180" s="22" t="s">
        <v>365</v>
      </c>
      <c r="C180" s="23" t="s">
        <v>334</v>
      </c>
      <c r="D180" s="139">
        <f t="shared" ref="D180:M180" si="59">D145</f>
        <v>0</v>
      </c>
      <c r="E180" s="139">
        <f t="shared" si="59"/>
        <v>0</v>
      </c>
      <c r="F180" s="139">
        <f t="shared" si="59"/>
        <v>0</v>
      </c>
      <c r="G180" s="139">
        <f t="shared" si="59"/>
        <v>0</v>
      </c>
      <c r="H180" s="139">
        <f t="shared" si="59"/>
        <v>0</v>
      </c>
      <c r="I180" s="139">
        <f t="shared" si="59"/>
        <v>0</v>
      </c>
      <c r="J180" s="139">
        <f t="shared" si="59"/>
        <v>0</v>
      </c>
      <c r="K180" s="139">
        <f t="shared" si="59"/>
        <v>0</v>
      </c>
      <c r="L180" s="139">
        <f t="shared" si="59"/>
        <v>0</v>
      </c>
      <c r="M180" s="139">
        <f t="shared" si="59"/>
        <v>0</v>
      </c>
      <c r="N180" s="151">
        <f t="shared" si="53"/>
        <v>0</v>
      </c>
      <c r="S180" s="165" t="s">
        <v>429</v>
      </c>
    </row>
    <row r="181" spans="2:19">
      <c r="B181" s="22" t="s">
        <v>366</v>
      </c>
      <c r="C181" s="23" t="s">
        <v>336</v>
      </c>
      <c r="D181" s="139">
        <f t="shared" ref="D181:M181" si="60">D146</f>
        <v>0</v>
      </c>
      <c r="E181" s="139">
        <f t="shared" si="60"/>
        <v>0</v>
      </c>
      <c r="F181" s="139">
        <f t="shared" si="60"/>
        <v>0</v>
      </c>
      <c r="G181" s="139">
        <f t="shared" si="60"/>
        <v>0</v>
      </c>
      <c r="H181" s="139">
        <f t="shared" si="60"/>
        <v>0</v>
      </c>
      <c r="I181" s="139">
        <f t="shared" si="60"/>
        <v>0</v>
      </c>
      <c r="J181" s="139">
        <f t="shared" si="60"/>
        <v>0</v>
      </c>
      <c r="K181" s="139">
        <f t="shared" si="60"/>
        <v>0</v>
      </c>
      <c r="L181" s="139">
        <f t="shared" si="60"/>
        <v>0</v>
      </c>
      <c r="M181" s="139">
        <f t="shared" si="60"/>
        <v>0</v>
      </c>
      <c r="N181" s="151">
        <f t="shared" si="53"/>
        <v>0</v>
      </c>
    </row>
    <row r="182" spans="2:19" ht="7.5" customHeight="1">
      <c r="B182" s="24"/>
      <c r="C182" s="290" t="s">
        <v>585</v>
      </c>
      <c r="D182" s="158">
        <f>SUM(D174:D181)-SUM(E174:E181)</f>
        <v>7608822.3563351221</v>
      </c>
      <c r="E182" s="158">
        <f>SUM(D174:D181)-SUM(E174:E181)</f>
        <v>7608822.3563351221</v>
      </c>
      <c r="F182" s="158">
        <f>SUM(F174:F181)-SUM(G174:G181)</f>
        <v>-340632.49003577838</v>
      </c>
      <c r="G182" s="158">
        <f>SUM(F174:F181)-SUM(G174:G181)</f>
        <v>-340632.49003577838</v>
      </c>
      <c r="H182" s="158">
        <f>SUM(H174:H181)-SUM(I174:I181)</f>
        <v>-4414647.3965030452</v>
      </c>
      <c r="I182" s="158">
        <f>SUM(H174:H181)-SUM(I174:I181)</f>
        <v>-4414647.3965030452</v>
      </c>
      <c r="J182" s="158">
        <f>SUM(J174:J181)-SUM(K174:K181)</f>
        <v>-3266491.555652861</v>
      </c>
      <c r="K182" s="158">
        <f>SUM(J174:J181)-SUM(K174:K181)</f>
        <v>-3266491.555652861</v>
      </c>
      <c r="L182" s="158">
        <f>SUM(L174:L181)-SUM(M174:M181)</f>
        <v>426235.08585656225</v>
      </c>
      <c r="M182" s="158">
        <f>SUM(L174:L181)-SUM(M174:M181)</f>
        <v>426235.08585656225</v>
      </c>
      <c r="N182" s="151">
        <f>D182+F182+H182+J182+L182-M182-K182-I182-G182-E182</f>
        <v>0</v>
      </c>
    </row>
    <row r="183" spans="2:19" ht="7.5" customHeight="1">
      <c r="B183" s="24"/>
      <c r="C183" s="290"/>
      <c r="D183" s="158"/>
      <c r="F183" s="158"/>
      <c r="H183" s="158"/>
      <c r="J183" s="158"/>
      <c r="L183" s="158"/>
      <c r="N183" s="151"/>
    </row>
    <row r="184" spans="2:19" ht="7.5" customHeight="1">
      <c r="B184" s="24"/>
      <c r="C184" s="290" t="s">
        <v>587</v>
      </c>
      <c r="D184" s="158">
        <f>D182+D101</f>
        <v>8171094.3563351221</v>
      </c>
      <c r="E184" s="158">
        <f>D182+D101</f>
        <v>8171094.3563351221</v>
      </c>
      <c r="F184" s="158">
        <f>F182+F101</f>
        <v>-1258641.4900357784</v>
      </c>
      <c r="G184" s="158">
        <f>F182+F101</f>
        <v>-1258641.4900357784</v>
      </c>
      <c r="H184" s="158">
        <f>H182+H101</f>
        <v>-4197730.3965030452</v>
      </c>
      <c r="I184" s="158">
        <f>H182+H101</f>
        <v>-4197730.3965030452</v>
      </c>
      <c r="J184" s="158">
        <f>J182+J101</f>
        <v>-3208209.555652861</v>
      </c>
      <c r="K184" s="158">
        <f>J182+J101</f>
        <v>-3208209.555652861</v>
      </c>
      <c r="L184" s="158">
        <f>L182+L101</f>
        <v>506773.08585656225</v>
      </c>
      <c r="M184" s="158">
        <f>L182+L101</f>
        <v>506773.08585656225</v>
      </c>
      <c r="N184" s="151">
        <f>D184+F184+H184+J184+L184-M184-K184-I184-G184-E184</f>
        <v>0</v>
      </c>
    </row>
    <row r="187" spans="2:19">
      <c r="B187" s="359" t="s">
        <v>584</v>
      </c>
      <c r="C187" s="359"/>
      <c r="D187" s="313" t="s">
        <v>2</v>
      </c>
      <c r="E187" s="314"/>
      <c r="F187" s="313" t="s">
        <v>293</v>
      </c>
      <c r="G187" s="314"/>
      <c r="H187" s="313" t="s">
        <v>266</v>
      </c>
      <c r="I187" s="314"/>
      <c r="J187" s="313" t="s">
        <v>265</v>
      </c>
      <c r="K187" s="314"/>
      <c r="L187" s="313" t="s">
        <v>412</v>
      </c>
      <c r="M187" s="314"/>
    </row>
    <row r="188" spans="2:19">
      <c r="B188" s="359"/>
      <c r="C188" s="359"/>
      <c r="D188" s="315"/>
      <c r="E188" s="316"/>
      <c r="F188" s="315"/>
      <c r="G188" s="316"/>
      <c r="H188" s="315"/>
      <c r="I188" s="316"/>
      <c r="J188" s="315"/>
      <c r="K188" s="316"/>
      <c r="L188" s="315"/>
      <c r="M188" s="316"/>
    </row>
    <row r="189" spans="2:19">
      <c r="B189" s="359"/>
      <c r="C189" s="359"/>
      <c r="D189" s="315"/>
      <c r="E189" s="316"/>
      <c r="F189" s="315"/>
      <c r="G189" s="316"/>
      <c r="H189" s="315"/>
      <c r="I189" s="316"/>
      <c r="J189" s="315"/>
      <c r="K189" s="316"/>
      <c r="L189" s="315"/>
      <c r="M189" s="316"/>
    </row>
    <row r="190" spans="2:19">
      <c r="B190" s="359"/>
      <c r="C190" s="359"/>
      <c r="D190" s="315"/>
      <c r="E190" s="316"/>
      <c r="F190" s="315"/>
      <c r="G190" s="316"/>
      <c r="H190" s="315"/>
      <c r="I190" s="316"/>
      <c r="J190" s="315"/>
      <c r="K190" s="316"/>
      <c r="L190" s="315"/>
      <c r="M190" s="316"/>
    </row>
    <row r="191" spans="2:19">
      <c r="B191" s="359"/>
      <c r="C191" s="359"/>
      <c r="D191" s="136" t="s">
        <v>458</v>
      </c>
      <c r="E191" s="136" t="s">
        <v>459</v>
      </c>
      <c r="F191" s="136" t="s">
        <v>458</v>
      </c>
      <c r="G191" s="136" t="s">
        <v>459</v>
      </c>
      <c r="H191" s="136" t="s">
        <v>458</v>
      </c>
      <c r="I191" s="136" t="s">
        <v>459</v>
      </c>
      <c r="J191" s="136" t="s">
        <v>458</v>
      </c>
      <c r="K191" s="136" t="s">
        <v>459</v>
      </c>
      <c r="L191" s="136" t="s">
        <v>458</v>
      </c>
      <c r="M191" s="136" t="s">
        <v>459</v>
      </c>
    </row>
    <row r="192" spans="2:19">
      <c r="B192" s="22" t="s">
        <v>345</v>
      </c>
      <c r="C192" s="23" t="s">
        <v>298</v>
      </c>
      <c r="D192" s="139">
        <f t="shared" ref="D192:M192" si="61">D174/D$182*D$184</f>
        <v>0</v>
      </c>
      <c r="E192" s="139">
        <f t="shared" si="61"/>
        <v>0</v>
      </c>
      <c r="F192" s="139">
        <f t="shared" si="61"/>
        <v>0</v>
      </c>
      <c r="G192" s="139">
        <f t="shared" si="61"/>
        <v>0</v>
      </c>
      <c r="H192" s="139">
        <f t="shared" si="61"/>
        <v>12854.733828861868</v>
      </c>
      <c r="I192" s="139">
        <f t="shared" si="61"/>
        <v>0</v>
      </c>
      <c r="J192" s="139">
        <f t="shared" si="61"/>
        <v>0</v>
      </c>
      <c r="K192" s="139">
        <f t="shared" si="61"/>
        <v>0</v>
      </c>
      <c r="L192" s="139">
        <f t="shared" si="61"/>
        <v>0</v>
      </c>
      <c r="M192" s="139">
        <f t="shared" si="61"/>
        <v>277.02583133739245</v>
      </c>
      <c r="N192" s="151">
        <f t="shared" ref="N192:N200" si="62">D192+F192+H192+J192+L192-M192-K192-I192-G192-E192</f>
        <v>12577.707997524476</v>
      </c>
    </row>
    <row r="193" spans="2:14">
      <c r="B193" s="22" t="s">
        <v>346</v>
      </c>
      <c r="C193" s="23" t="s">
        <v>300</v>
      </c>
      <c r="D193" s="139">
        <f t="shared" ref="D193:E196" si="63">D175/D$182*D$184</f>
        <v>1924622.7672559263</v>
      </c>
      <c r="E193" s="139">
        <f t="shared" si="63"/>
        <v>0</v>
      </c>
      <c r="F193" s="139">
        <f t="shared" ref="F193:M193" si="64">F175/F$182*F$184</f>
        <v>4188478.328179175</v>
      </c>
      <c r="G193" s="139">
        <f t="shared" si="64"/>
        <v>0</v>
      </c>
      <c r="H193" s="139">
        <f t="shared" si="64"/>
        <v>0</v>
      </c>
      <c r="I193" s="139">
        <f t="shared" si="64"/>
        <v>2990190.4215912824</v>
      </c>
      <c r="J193" s="139">
        <f t="shared" si="64"/>
        <v>371554.15437745611</v>
      </c>
      <c r="K193" s="139">
        <f t="shared" si="64"/>
        <v>0</v>
      </c>
      <c r="L193" s="139">
        <f t="shared" si="64"/>
        <v>0</v>
      </c>
      <c r="M193" s="139">
        <f t="shared" si="64"/>
        <v>189435.73264801173</v>
      </c>
      <c r="N193" s="151">
        <f>D193+F193+H193+J193+L193-M193-K193-I193-G193-E193</f>
        <v>3305029.0955732637</v>
      </c>
    </row>
    <row r="194" spans="2:14">
      <c r="B194" s="22" t="s">
        <v>350</v>
      </c>
      <c r="C194" s="23" t="s">
        <v>582</v>
      </c>
      <c r="D194" s="139">
        <f t="shared" si="63"/>
        <v>1543641.851779466</v>
      </c>
      <c r="E194" s="139">
        <f t="shared" si="63"/>
        <v>1268973.7379064178</v>
      </c>
      <c r="F194" s="139">
        <f t="shared" ref="F194:M194" si="65">F176/F$182*F$184</f>
        <v>4066333.4321739762</v>
      </c>
      <c r="G194" s="139">
        <f t="shared" si="65"/>
        <v>9513453.2503889296</v>
      </c>
      <c r="H194" s="139">
        <f t="shared" si="65"/>
        <v>6764371.0226171138</v>
      </c>
      <c r="I194" s="139">
        <f t="shared" si="65"/>
        <v>5808258.8568203431</v>
      </c>
      <c r="J194" s="139">
        <f t="shared" si="65"/>
        <v>1392917.2576150622</v>
      </c>
      <c r="K194" s="139">
        <f t="shared" si="65"/>
        <v>1600463.4168871809</v>
      </c>
      <c r="L194" s="139">
        <f t="shared" si="65"/>
        <v>727444.23307694169</v>
      </c>
      <c r="M194" s="139">
        <f t="shared" si="65"/>
        <v>223077.23669037761</v>
      </c>
      <c r="N194" s="151">
        <f t="shared" si="62"/>
        <v>-3919518.7014306905</v>
      </c>
    </row>
    <row r="195" spans="2:14">
      <c r="B195" s="22" t="s">
        <v>353</v>
      </c>
      <c r="C195" s="23" t="s">
        <v>314</v>
      </c>
      <c r="D195" s="139">
        <f t="shared" si="63"/>
        <v>0</v>
      </c>
      <c r="E195" s="139">
        <f t="shared" si="63"/>
        <v>0</v>
      </c>
      <c r="F195" s="139">
        <f t="shared" ref="F195:M195" si="66">F177/F$182*F$184</f>
        <v>0</v>
      </c>
      <c r="G195" s="139">
        <f t="shared" si="66"/>
        <v>0</v>
      </c>
      <c r="H195" s="139">
        <f t="shared" si="66"/>
        <v>0</v>
      </c>
      <c r="I195" s="139">
        <f t="shared" si="66"/>
        <v>0</v>
      </c>
      <c r="J195" s="139">
        <f t="shared" si="66"/>
        <v>0</v>
      </c>
      <c r="K195" s="139">
        <f t="shared" si="66"/>
        <v>0</v>
      </c>
      <c r="L195" s="139">
        <f t="shared" si="66"/>
        <v>0</v>
      </c>
      <c r="M195" s="139">
        <f t="shared" si="66"/>
        <v>0</v>
      </c>
      <c r="N195" s="151">
        <f t="shared" si="62"/>
        <v>0</v>
      </c>
    </row>
    <row r="196" spans="2:14">
      <c r="B196" s="22" t="s">
        <v>356</v>
      </c>
      <c r="C196" s="23" t="s">
        <v>318</v>
      </c>
      <c r="D196" s="139">
        <f t="shared" si="63"/>
        <v>3823959.3256573314</v>
      </c>
      <c r="E196" s="139">
        <f t="shared" si="63"/>
        <v>0</v>
      </c>
      <c r="F196" s="139">
        <f t="shared" ref="F196:M196" si="67">F178/F$182*F$184</f>
        <v>0</v>
      </c>
      <c r="G196" s="139">
        <f t="shared" si="67"/>
        <v>0</v>
      </c>
      <c r="H196" s="139">
        <f t="shared" si="67"/>
        <v>0</v>
      </c>
      <c r="I196" s="139">
        <f t="shared" si="67"/>
        <v>274734.62988321536</v>
      </c>
      <c r="J196" s="139">
        <f t="shared" si="67"/>
        <v>0</v>
      </c>
      <c r="K196" s="139">
        <f t="shared" si="67"/>
        <v>3372217.5507581984</v>
      </c>
      <c r="L196" s="139">
        <f t="shared" si="67"/>
        <v>192118.84794934749</v>
      </c>
      <c r="M196" s="139">
        <f t="shared" si="67"/>
        <v>0</v>
      </c>
      <c r="N196" s="151">
        <f t="shared" si="62"/>
        <v>369125.99296526512</v>
      </c>
    </row>
    <row r="197" spans="2:14">
      <c r="B197" s="22" t="s">
        <v>361</v>
      </c>
      <c r="C197" s="23" t="s">
        <v>402</v>
      </c>
      <c r="D197" s="139">
        <f>D179+H92</f>
        <v>2094582</v>
      </c>
      <c r="E197" s="139">
        <f>E179/E$182*E$184</f>
        <v>0</v>
      </c>
      <c r="F197" s="139">
        <f>F179/F$182*F$184</f>
        <v>0</v>
      </c>
      <c r="G197" s="139">
        <f>G179/G$182*G$184</f>
        <v>0</v>
      </c>
      <c r="H197" s="139">
        <f>H179/H$182*H$184</f>
        <v>0</v>
      </c>
      <c r="I197" s="139">
        <f>D197</f>
        <v>2094582</v>
      </c>
      <c r="J197" s="139">
        <f>J179/J$182*J$184</f>
        <v>0</v>
      </c>
      <c r="K197" s="139">
        <f>K179/K$182*K$184</f>
        <v>0</v>
      </c>
      <c r="L197" s="139">
        <f>L179/L$182*L$184</f>
        <v>0</v>
      </c>
      <c r="M197" s="139">
        <f>M179/M$182*M$184</f>
        <v>0</v>
      </c>
      <c r="N197" s="151">
        <f t="shared" si="62"/>
        <v>0</v>
      </c>
    </row>
    <row r="198" spans="2:14">
      <c r="B198" s="22" t="s">
        <v>365</v>
      </c>
      <c r="C198" s="23" t="s">
        <v>334</v>
      </c>
      <c r="D198" s="139">
        <f>D180/D$182*D$184</f>
        <v>0</v>
      </c>
      <c r="E198" s="139">
        <f>E180/E$182*E$184</f>
        <v>0</v>
      </c>
      <c r="F198" s="139">
        <f t="shared" ref="F198:M198" si="68">F180/F$182*F$184</f>
        <v>0</v>
      </c>
      <c r="G198" s="139">
        <f t="shared" si="68"/>
        <v>0</v>
      </c>
      <c r="H198" s="139">
        <f t="shared" si="68"/>
        <v>0</v>
      </c>
      <c r="I198" s="139">
        <f t="shared" si="68"/>
        <v>0</v>
      </c>
      <c r="J198" s="139">
        <f t="shared" si="68"/>
        <v>0</v>
      </c>
      <c r="K198" s="139">
        <f t="shared" si="68"/>
        <v>0</v>
      </c>
      <c r="L198" s="139">
        <f t="shared" si="68"/>
        <v>0</v>
      </c>
      <c r="M198" s="139">
        <f t="shared" si="68"/>
        <v>0</v>
      </c>
      <c r="N198" s="151">
        <f t="shared" si="62"/>
        <v>0</v>
      </c>
    </row>
    <row r="199" spans="2:14">
      <c r="B199" s="22" t="s">
        <v>366</v>
      </c>
      <c r="C199" s="23" t="s">
        <v>336</v>
      </c>
      <c r="D199" s="139">
        <f>D181/D$182*D$184</f>
        <v>0</v>
      </c>
      <c r="E199" s="139">
        <f>E181/E$182*E$184</f>
        <v>0</v>
      </c>
      <c r="F199" s="139">
        <f t="shared" ref="F199:M199" si="69">F181/F$182*F$184</f>
        <v>0</v>
      </c>
      <c r="G199" s="139">
        <f t="shared" si="69"/>
        <v>0</v>
      </c>
      <c r="H199" s="139">
        <f t="shared" si="69"/>
        <v>0</v>
      </c>
      <c r="I199" s="139">
        <f t="shared" si="69"/>
        <v>0</v>
      </c>
      <c r="J199" s="139">
        <f t="shared" si="69"/>
        <v>0</v>
      </c>
      <c r="K199" s="139">
        <f t="shared" si="69"/>
        <v>0</v>
      </c>
      <c r="L199" s="139">
        <f t="shared" si="69"/>
        <v>0</v>
      </c>
      <c r="M199" s="139">
        <f t="shared" si="69"/>
        <v>0</v>
      </c>
      <c r="N199" s="151">
        <f t="shared" si="62"/>
        <v>0</v>
      </c>
    </row>
    <row r="200" spans="2:14">
      <c r="B200" s="24"/>
      <c r="C200" s="290" t="s">
        <v>585</v>
      </c>
      <c r="D200" s="139">
        <f>SUM(D192:D199)</f>
        <v>9386805.9446927235</v>
      </c>
      <c r="E200" s="139">
        <f>E182/E$182*E$184</f>
        <v>8171094.3563351221</v>
      </c>
      <c r="F200" s="139">
        <f t="shared" ref="F200:M200" si="70">F182/F$182*F$184</f>
        <v>-1258641.4900357784</v>
      </c>
      <c r="G200" s="139">
        <f t="shared" si="70"/>
        <v>-1258641.4900357784</v>
      </c>
      <c r="H200" s="139">
        <f t="shared" si="70"/>
        <v>-4197730.3965030452</v>
      </c>
      <c r="I200" s="139">
        <f t="shared" si="70"/>
        <v>-4197730.3965030452</v>
      </c>
      <c r="J200" s="139">
        <f t="shared" si="70"/>
        <v>-3208209.555652861</v>
      </c>
      <c r="K200" s="139">
        <f t="shared" si="70"/>
        <v>-3208209.555652861</v>
      </c>
      <c r="L200" s="139">
        <f t="shared" si="70"/>
        <v>506773.08585656225</v>
      </c>
      <c r="M200" s="139">
        <f t="shared" si="70"/>
        <v>506773.08585656225</v>
      </c>
      <c r="N200" s="151">
        <f t="shared" si="62"/>
        <v>1215711.5883576013</v>
      </c>
    </row>
    <row r="202" spans="2:14">
      <c r="E202" s="158"/>
    </row>
    <row r="203" spans="2:14">
      <c r="D203" s="158">
        <f>D197-D179</f>
        <v>94536</v>
      </c>
      <c r="E203" s="158"/>
    </row>
  </sheetData>
  <mergeCells count="89">
    <mergeCell ref="J34:K34"/>
    <mergeCell ref="L34:M34"/>
    <mergeCell ref="J29:K29"/>
    <mergeCell ref="L29:M29"/>
    <mergeCell ref="F30:G30"/>
    <mergeCell ref="H30:I30"/>
    <mergeCell ref="J30:K30"/>
    <mergeCell ref="L30:M30"/>
    <mergeCell ref="D34:E34"/>
    <mergeCell ref="F34:G34"/>
    <mergeCell ref="H34:I34"/>
    <mergeCell ref="D29:E29"/>
    <mergeCell ref="F29:G29"/>
    <mergeCell ref="H29:I29"/>
    <mergeCell ref="D30:E30"/>
    <mergeCell ref="J2:K5"/>
    <mergeCell ref="L2:M5"/>
    <mergeCell ref="D18:E18"/>
    <mergeCell ref="F18:G18"/>
    <mergeCell ref="H18:I18"/>
    <mergeCell ref="J18:K18"/>
    <mergeCell ref="L18:M18"/>
    <mergeCell ref="D2:E5"/>
    <mergeCell ref="F2:G5"/>
    <mergeCell ref="H2:I5"/>
    <mergeCell ref="D39:E39"/>
    <mergeCell ref="F39:G39"/>
    <mergeCell ref="H39:I39"/>
    <mergeCell ref="J39:K39"/>
    <mergeCell ref="L39:M39"/>
    <mergeCell ref="D20:E20"/>
    <mergeCell ref="F20:G20"/>
    <mergeCell ref="H20:I20"/>
    <mergeCell ref="J20:K20"/>
    <mergeCell ref="L20:M20"/>
    <mergeCell ref="D75:E78"/>
    <mergeCell ref="F75:G78"/>
    <mergeCell ref="H75:I78"/>
    <mergeCell ref="J75:K78"/>
    <mergeCell ref="L75:M78"/>
    <mergeCell ref="D68:E68"/>
    <mergeCell ref="F68:G68"/>
    <mergeCell ref="H68:I68"/>
    <mergeCell ref="J68:K68"/>
    <mergeCell ref="L68:M68"/>
    <mergeCell ref="D42:E45"/>
    <mergeCell ref="F42:G45"/>
    <mergeCell ref="H42:I45"/>
    <mergeCell ref="J42:K45"/>
    <mergeCell ref="L42:M45"/>
    <mergeCell ref="D40:E40"/>
    <mergeCell ref="F40:G40"/>
    <mergeCell ref="H40:I40"/>
    <mergeCell ref="J40:K40"/>
    <mergeCell ref="L40:M40"/>
    <mergeCell ref="L187:M190"/>
    <mergeCell ref="D101:E101"/>
    <mergeCell ref="F101:G101"/>
    <mergeCell ref="H101:I101"/>
    <mergeCell ref="J101:K101"/>
    <mergeCell ref="L101:M101"/>
    <mergeCell ref="D103:E103"/>
    <mergeCell ref="F103:G103"/>
    <mergeCell ref="H103:I103"/>
    <mergeCell ref="J103:K103"/>
    <mergeCell ref="L103:M103"/>
    <mergeCell ref="L169:M172"/>
    <mergeCell ref="J134:K137"/>
    <mergeCell ref="L134:M137"/>
    <mergeCell ref="J120:K123"/>
    <mergeCell ref="L120:M123"/>
    <mergeCell ref="B120:C124"/>
    <mergeCell ref="B134:C138"/>
    <mergeCell ref="D134:E137"/>
    <mergeCell ref="F134:G137"/>
    <mergeCell ref="H134:I137"/>
    <mergeCell ref="D120:E123"/>
    <mergeCell ref="F120:G123"/>
    <mergeCell ref="H120:I123"/>
    <mergeCell ref="B169:C173"/>
    <mergeCell ref="D169:E172"/>
    <mergeCell ref="F169:G172"/>
    <mergeCell ref="H169:I172"/>
    <mergeCell ref="J169:K172"/>
    <mergeCell ref="B187:C191"/>
    <mergeCell ref="D187:E190"/>
    <mergeCell ref="F187:G190"/>
    <mergeCell ref="H187:I190"/>
    <mergeCell ref="J187:K190"/>
  </mergeCells>
  <pageMargins left="0.511811024" right="0.511811024" top="0.78740157499999996" bottom="0.78740157499999996" header="0.31496062000000002" footer="0.31496062000000002"/>
  <ignoredErrors>
    <ignoredError sqref="D8:E8 I14 E13" formulaRange="1"/>
    <ignoredError sqref="H82:M86 D88:G91 H88:M95 H87:J87 L87:M87 H80:I80 K80:M80 H81:J81 L81:M81 D93:G95 D92 F92:G92 F176 H176:M176 E87:G8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F4A1-B1DB-402B-B57D-D92F84FB4ACC}">
  <dimension ref="A1:K24"/>
  <sheetViews>
    <sheetView tabSelected="1" zoomScale="205" zoomScaleNormal="205" workbookViewId="0">
      <selection activeCell="A8" sqref="A8"/>
    </sheetView>
  </sheetViews>
  <sheetFormatPr defaultRowHeight="8.25"/>
  <cols>
    <col min="1" max="1" width="21.3984375" customWidth="1"/>
  </cols>
  <sheetData>
    <row r="1" spans="1:11">
      <c r="B1" t="s">
        <v>593</v>
      </c>
      <c r="C1" t="s">
        <v>593</v>
      </c>
      <c r="D1" t="s">
        <v>594</v>
      </c>
      <c r="E1" t="s">
        <v>594</v>
      </c>
      <c r="F1" t="s">
        <v>597</v>
      </c>
      <c r="G1" t="s">
        <v>597</v>
      </c>
      <c r="H1" t="s">
        <v>596</v>
      </c>
      <c r="I1" t="s">
        <v>596</v>
      </c>
      <c r="J1" t="s">
        <v>595</v>
      </c>
      <c r="K1" t="s">
        <v>595</v>
      </c>
    </row>
    <row r="2" spans="1:11">
      <c r="B2" t="s">
        <v>413</v>
      </c>
      <c r="C2" t="s">
        <v>414</v>
      </c>
      <c r="D2" t="s">
        <v>413</v>
      </c>
      <c r="E2" t="s">
        <v>414</v>
      </c>
      <c r="F2" t="s">
        <v>413</v>
      </c>
      <c r="G2" t="s">
        <v>414</v>
      </c>
      <c r="H2" t="s">
        <v>413</v>
      </c>
      <c r="I2" t="s">
        <v>414</v>
      </c>
      <c r="J2" t="s">
        <v>413</v>
      </c>
      <c r="K2" t="s">
        <v>414</v>
      </c>
    </row>
    <row r="3" spans="1:11">
      <c r="A3" t="s">
        <v>98</v>
      </c>
      <c r="C3">
        <v>0</v>
      </c>
      <c r="E3">
        <v>0</v>
      </c>
      <c r="F3">
        <v>522038</v>
      </c>
      <c r="G3">
        <v>0</v>
      </c>
      <c r="H3">
        <v>7087559</v>
      </c>
      <c r="I3">
        <v>0</v>
      </c>
      <c r="J3">
        <v>1206009</v>
      </c>
      <c r="K3">
        <v>1252049</v>
      </c>
    </row>
    <row r="4" spans="1:11">
      <c r="A4" t="s">
        <v>389</v>
      </c>
      <c r="B4">
        <v>2531961</v>
      </c>
      <c r="C4">
        <v>0</v>
      </c>
      <c r="D4">
        <v>0</v>
      </c>
      <c r="F4">
        <v>0</v>
      </c>
      <c r="G4">
        <v>140274</v>
      </c>
      <c r="H4">
        <v>0</v>
      </c>
      <c r="I4">
        <v>2391687</v>
      </c>
      <c r="J4">
        <v>0</v>
      </c>
      <c r="K4">
        <v>0</v>
      </c>
    </row>
    <row r="5" spans="1:11">
      <c r="A5" t="s">
        <v>28</v>
      </c>
      <c r="B5">
        <v>562617</v>
      </c>
      <c r="C5">
        <v>0</v>
      </c>
      <c r="D5">
        <v>0</v>
      </c>
      <c r="F5">
        <v>0</v>
      </c>
      <c r="G5">
        <v>41011</v>
      </c>
      <c r="H5">
        <v>0</v>
      </c>
      <c r="I5">
        <v>521606</v>
      </c>
      <c r="J5">
        <v>0</v>
      </c>
      <c r="K5">
        <v>0</v>
      </c>
    </row>
    <row r="6" spans="1:11">
      <c r="A6" t="s">
        <v>542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19</v>
      </c>
      <c r="B7">
        <v>0</v>
      </c>
      <c r="C7">
        <v>0</v>
      </c>
      <c r="D7">
        <v>1014660</v>
      </c>
      <c r="E7">
        <v>0</v>
      </c>
      <c r="F7">
        <v>0</v>
      </c>
      <c r="G7">
        <v>67487.999999999985</v>
      </c>
      <c r="H7">
        <v>0</v>
      </c>
      <c r="I7">
        <v>947172</v>
      </c>
      <c r="J7">
        <v>0</v>
      </c>
      <c r="K7">
        <v>0</v>
      </c>
    </row>
    <row r="8" spans="1:11">
      <c r="A8" t="s">
        <v>34</v>
      </c>
      <c r="B8">
        <v>0</v>
      </c>
      <c r="C8">
        <v>0</v>
      </c>
      <c r="D8">
        <v>86391</v>
      </c>
      <c r="E8">
        <v>0</v>
      </c>
      <c r="F8">
        <v>0</v>
      </c>
      <c r="G8">
        <v>9262</v>
      </c>
      <c r="H8">
        <v>0</v>
      </c>
      <c r="I8">
        <v>77129</v>
      </c>
      <c r="J8">
        <v>0</v>
      </c>
      <c r="K8">
        <v>0</v>
      </c>
    </row>
    <row r="9" spans="1:11">
      <c r="A9" t="s">
        <v>40</v>
      </c>
      <c r="B9">
        <v>249546</v>
      </c>
      <c r="C9">
        <v>205143</v>
      </c>
      <c r="D9">
        <v>191053</v>
      </c>
      <c r="E9">
        <v>446981</v>
      </c>
      <c r="F9">
        <v>1235025</v>
      </c>
      <c r="G9">
        <v>1060460</v>
      </c>
      <c r="H9">
        <v>246213</v>
      </c>
      <c r="I9">
        <v>282899</v>
      </c>
      <c r="J9">
        <v>106219</v>
      </c>
      <c r="K9">
        <v>32573</v>
      </c>
    </row>
    <row r="10" spans="1:11">
      <c r="A10" t="s">
        <v>408</v>
      </c>
      <c r="B10">
        <v>1888670</v>
      </c>
      <c r="C10">
        <v>0</v>
      </c>
      <c r="D10">
        <v>0</v>
      </c>
      <c r="E10">
        <v>0</v>
      </c>
      <c r="F10">
        <v>0</v>
      </c>
      <c r="G10">
        <v>153250</v>
      </c>
      <c r="H10">
        <v>0</v>
      </c>
      <c r="I10">
        <v>1821126</v>
      </c>
      <c r="J10">
        <v>85706</v>
      </c>
      <c r="K10">
        <v>0</v>
      </c>
    </row>
    <row r="11" spans="1:11">
      <c r="A11" t="s">
        <v>392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401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288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453</v>
      </c>
      <c r="B14">
        <v>0</v>
      </c>
      <c r="C14">
        <v>362776</v>
      </c>
      <c r="D14">
        <v>917257</v>
      </c>
      <c r="E14">
        <v>0</v>
      </c>
      <c r="F14">
        <v>0</v>
      </c>
      <c r="G14">
        <v>42715</v>
      </c>
      <c r="H14">
        <v>0</v>
      </c>
      <c r="I14">
        <v>511766</v>
      </c>
      <c r="J14">
        <v>0</v>
      </c>
      <c r="K14">
        <v>0</v>
      </c>
    </row>
    <row r="15" spans="1:11">
      <c r="A15" t="s">
        <v>50</v>
      </c>
      <c r="B15">
        <v>0</v>
      </c>
      <c r="C15">
        <v>895266</v>
      </c>
      <c r="D15">
        <v>800730</v>
      </c>
      <c r="E15">
        <v>0</v>
      </c>
      <c r="F15">
        <v>94536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455</v>
      </c>
      <c r="B16">
        <v>1254637</v>
      </c>
      <c r="C16">
        <v>0</v>
      </c>
      <c r="D16">
        <v>0</v>
      </c>
      <c r="E16">
        <v>1254637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456</v>
      </c>
      <c r="B17">
        <v>717798</v>
      </c>
      <c r="C17">
        <v>0</v>
      </c>
      <c r="D17">
        <v>0</v>
      </c>
      <c r="E17">
        <v>624646</v>
      </c>
      <c r="F17">
        <v>0</v>
      </c>
      <c r="G17">
        <v>93152</v>
      </c>
      <c r="H17">
        <v>0</v>
      </c>
      <c r="I17">
        <v>0</v>
      </c>
      <c r="J17">
        <v>0</v>
      </c>
      <c r="K17">
        <v>0</v>
      </c>
    </row>
    <row r="18" spans="1:11">
      <c r="A18" t="s">
        <v>65</v>
      </c>
      <c r="B18">
        <v>35242</v>
      </c>
      <c r="C18">
        <v>0</v>
      </c>
      <c r="D18">
        <v>70054</v>
      </c>
      <c r="E18">
        <v>0</v>
      </c>
      <c r="F18">
        <v>0</v>
      </c>
      <c r="G18">
        <v>13352</v>
      </c>
      <c r="H18">
        <v>0</v>
      </c>
      <c r="I18">
        <v>59170</v>
      </c>
      <c r="J18">
        <v>0</v>
      </c>
      <c r="K18">
        <v>32774</v>
      </c>
    </row>
    <row r="19" spans="1:11">
      <c r="A19" t="s">
        <v>79</v>
      </c>
      <c r="B19">
        <v>0</v>
      </c>
      <c r="C19">
        <v>4805004</v>
      </c>
      <c r="D19">
        <v>0</v>
      </c>
      <c r="E19">
        <v>1532204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404</v>
      </c>
      <c r="B20">
        <v>0</v>
      </c>
      <c r="C20">
        <v>0</v>
      </c>
      <c r="D20">
        <v>0</v>
      </c>
      <c r="E20">
        <v>0</v>
      </c>
      <c r="F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87</v>
      </c>
      <c r="B21">
        <v>0</v>
      </c>
      <c r="C21">
        <v>410010</v>
      </c>
      <c r="D21">
        <v>0</v>
      </c>
      <c r="E21">
        <v>139686</v>
      </c>
      <c r="F21">
        <v>0</v>
      </c>
      <c r="G21">
        <v>13718</v>
      </c>
      <c r="H21">
        <v>0</v>
      </c>
      <c r="I21">
        <v>696813</v>
      </c>
      <c r="J21">
        <v>0</v>
      </c>
      <c r="K21">
        <v>0</v>
      </c>
    </row>
    <row r="22" spans="1:11">
      <c r="A22" t="s">
        <v>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-33878</v>
      </c>
      <c r="J22">
        <v>0</v>
      </c>
      <c r="K22">
        <v>0</v>
      </c>
    </row>
    <row r="23" spans="1:11">
      <c r="A23" t="s">
        <v>410</v>
      </c>
      <c r="B23">
        <v>0</v>
      </c>
      <c r="C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189</v>
      </c>
      <c r="B24">
        <f>SUM(B3:B23)-SUM(C3:C23)</f>
        <v>562272</v>
      </c>
      <c r="D24">
        <f>SUM(D3:D23)-SUM(E3:E23)</f>
        <v>-918009</v>
      </c>
      <c r="F24">
        <f>SUM(F3:F23)-SUM(G3:G23)</f>
        <v>216917</v>
      </c>
      <c r="H24">
        <f>SUM(H3:H23)-SUM(I3:I23)</f>
        <v>58282</v>
      </c>
      <c r="J24">
        <f>SUM(J3:J23)-SUM(K3:K23)</f>
        <v>80538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5E60-ECAD-4279-BDE6-EB5050D589C5}">
  <dimension ref="A2:O62"/>
  <sheetViews>
    <sheetView zoomScale="130" zoomScaleNormal="130" workbookViewId="0">
      <selection activeCell="I7" sqref="I7"/>
    </sheetView>
  </sheetViews>
  <sheetFormatPr defaultRowHeight="8.25"/>
  <cols>
    <col min="1" max="1" width="19.59765625" customWidth="1"/>
    <col min="2" max="2" width="42.59765625" bestFit="1" customWidth="1"/>
    <col min="3" max="3" width="10.3984375" bestFit="1" customWidth="1"/>
    <col min="4" max="4" width="10.19921875" bestFit="1" customWidth="1"/>
    <col min="5" max="5" width="9.59765625" bestFit="1" customWidth="1"/>
    <col min="6" max="6" width="9.796875" bestFit="1" customWidth="1"/>
    <col min="7" max="7" width="9.59765625" bestFit="1" customWidth="1"/>
    <col min="8" max="8" width="10" bestFit="1" customWidth="1"/>
    <col min="9" max="9" width="9.19921875" bestFit="1" customWidth="1"/>
    <col min="10" max="11" width="10" bestFit="1" customWidth="1"/>
    <col min="12" max="12" width="9.796875" bestFit="1" customWidth="1"/>
    <col min="13" max="13" width="9.3984375" bestFit="1" customWidth="1"/>
    <col min="14" max="14" width="15.19921875" bestFit="1" customWidth="1"/>
    <col min="15" max="15" width="13.796875" bestFit="1" customWidth="1"/>
    <col min="16" max="25" width="20.59765625" customWidth="1"/>
  </cols>
  <sheetData>
    <row r="2" spans="1:15">
      <c r="C2" s="313" t="s">
        <v>2</v>
      </c>
      <c r="D2" s="314"/>
      <c r="E2" s="313" t="s">
        <v>293</v>
      </c>
      <c r="F2" s="314"/>
      <c r="G2" s="313" t="s">
        <v>266</v>
      </c>
      <c r="H2" s="314"/>
      <c r="I2" s="313" t="s">
        <v>265</v>
      </c>
      <c r="J2" s="314"/>
      <c r="K2" s="313" t="s">
        <v>412</v>
      </c>
      <c r="L2" s="314"/>
    </row>
    <row r="3" spans="1:15">
      <c r="C3" s="315"/>
      <c r="D3" s="316"/>
      <c r="E3" s="315"/>
      <c r="F3" s="316"/>
      <c r="G3" s="315"/>
      <c r="H3" s="316"/>
      <c r="I3" s="315"/>
      <c r="J3" s="316"/>
      <c r="K3" s="315"/>
      <c r="L3" s="316"/>
    </row>
    <row r="4" spans="1:15">
      <c r="C4" s="315"/>
      <c r="D4" s="316"/>
      <c r="E4" s="315"/>
      <c r="F4" s="316"/>
      <c r="G4" s="315"/>
      <c r="H4" s="316"/>
      <c r="I4" s="315"/>
      <c r="J4" s="316"/>
      <c r="K4" s="315"/>
      <c r="L4" s="316"/>
    </row>
    <row r="5" spans="1:15">
      <c r="C5" s="315"/>
      <c r="D5" s="316"/>
      <c r="E5" s="315"/>
      <c r="F5" s="316"/>
      <c r="G5" s="315"/>
      <c r="H5" s="316"/>
      <c r="I5" s="315"/>
      <c r="J5" s="316"/>
      <c r="K5" s="315"/>
      <c r="L5" s="316"/>
    </row>
    <row r="6" spans="1:15">
      <c r="C6" s="242" t="s">
        <v>413</v>
      </c>
      <c r="D6" s="242" t="s">
        <v>414</v>
      </c>
      <c r="E6" s="242" t="s">
        <v>413</v>
      </c>
      <c r="F6" s="242" t="s">
        <v>414</v>
      </c>
      <c r="G6" s="242" t="s">
        <v>413</v>
      </c>
      <c r="H6" s="242" t="s">
        <v>414</v>
      </c>
      <c r="I6" s="242" t="s">
        <v>413</v>
      </c>
      <c r="J6" s="242" t="s">
        <v>414</v>
      </c>
      <c r="K6" s="242" t="s">
        <v>413</v>
      </c>
      <c r="L6" s="242" t="s">
        <v>414</v>
      </c>
      <c r="N6" s="282" t="s">
        <v>540</v>
      </c>
      <c r="O6" s="282" t="s">
        <v>541</v>
      </c>
    </row>
    <row r="7" spans="1:15" ht="16.5">
      <c r="B7" s="131" t="s">
        <v>98</v>
      </c>
      <c r="C7" s="236">
        <f>CEIResumida!D80</f>
        <v>0</v>
      </c>
      <c r="D7" s="237">
        <f>CEIResumida!E80</f>
        <v>0</v>
      </c>
      <c r="E7" s="160">
        <f>CEIResumida!F80</f>
        <v>0</v>
      </c>
      <c r="F7" s="150">
        <f>CEIResumida!G80</f>
        <v>0</v>
      </c>
      <c r="G7" s="160">
        <f>CEIResumida!H80</f>
        <v>522038</v>
      </c>
      <c r="H7" s="150">
        <f>CEIResumida!I80</f>
        <v>0</v>
      </c>
      <c r="I7" s="160">
        <f>CEIResumida!J80</f>
        <v>7087559</v>
      </c>
      <c r="J7" s="150">
        <f>CEIResumida!K80</f>
        <v>0</v>
      </c>
      <c r="K7" s="169">
        <f>CEIResumida!L80</f>
        <v>1206009</v>
      </c>
      <c r="L7" s="150">
        <f>CEIResumida!M80</f>
        <v>1252049</v>
      </c>
      <c r="M7" s="151"/>
      <c r="N7" s="158">
        <f>G7+I7</f>
        <v>7609597</v>
      </c>
      <c r="O7" s="158">
        <f>N7-J11</f>
        <v>6662425</v>
      </c>
    </row>
    <row r="8" spans="1:15" ht="8.25" customHeight="1">
      <c r="A8" s="367" t="s">
        <v>555</v>
      </c>
      <c r="B8" s="132" t="s">
        <v>389</v>
      </c>
      <c r="C8" s="240">
        <f>CEIResumida!D81</f>
        <v>2531961</v>
      </c>
      <c r="D8" s="238">
        <f>CEIResumida!E81</f>
        <v>0</v>
      </c>
      <c r="E8" s="152">
        <f>CEIResumida!F81</f>
        <v>0</v>
      </c>
      <c r="F8" s="154">
        <f>CEIResumida!G81</f>
        <v>0</v>
      </c>
      <c r="G8" s="152">
        <f>CEIResumida!H81</f>
        <v>0</v>
      </c>
      <c r="H8" s="154">
        <f>CEIResumida!I81</f>
        <v>140274</v>
      </c>
      <c r="I8" s="152">
        <f>CEIResumida!J81</f>
        <v>0</v>
      </c>
      <c r="J8" s="154">
        <f>CEIResumida!K81</f>
        <v>2391687</v>
      </c>
      <c r="K8" s="153">
        <f>CEIResumida!L81</f>
        <v>0</v>
      </c>
      <c r="L8" s="154">
        <f>CEIResumida!M81</f>
        <v>0</v>
      </c>
    </row>
    <row r="9" spans="1:15">
      <c r="A9" s="367"/>
      <c r="B9" s="133" t="s">
        <v>28</v>
      </c>
      <c r="C9" s="234">
        <f>CEIResumida!D82</f>
        <v>562617</v>
      </c>
      <c r="D9" s="235">
        <f>CEIResumida!E82</f>
        <v>0</v>
      </c>
      <c r="E9" s="155">
        <f>CEIResumida!F82</f>
        <v>0</v>
      </c>
      <c r="F9" s="157">
        <f>CEIResumida!G82</f>
        <v>0</v>
      </c>
      <c r="G9" s="155">
        <f>CEIResumida!H82</f>
        <v>0</v>
      </c>
      <c r="H9" s="157">
        <f>CEIResumida!I82</f>
        <v>41011</v>
      </c>
      <c r="I9" s="155">
        <f>CEIResumida!J82</f>
        <v>0</v>
      </c>
      <c r="J9" s="157">
        <f>CEIResumida!K82</f>
        <v>521606</v>
      </c>
      <c r="K9" s="156">
        <f>CEIResumida!L82</f>
        <v>0</v>
      </c>
      <c r="L9" s="157">
        <f>CEIResumida!M82</f>
        <v>0</v>
      </c>
    </row>
    <row r="10" spans="1:15">
      <c r="A10" s="367"/>
      <c r="B10" s="133" t="s">
        <v>542</v>
      </c>
      <c r="C10" s="234">
        <f>CEIResumida!D83</f>
        <v>0</v>
      </c>
      <c r="D10" s="235">
        <f>CEIResumida!E83</f>
        <v>0</v>
      </c>
      <c r="E10" s="155">
        <f>CEIResumida!F83</f>
        <v>0</v>
      </c>
      <c r="F10" s="157">
        <f>CEIResumida!G83</f>
        <v>0</v>
      </c>
      <c r="G10" s="155">
        <f>CEIResumida!H83</f>
        <v>0</v>
      </c>
      <c r="H10" s="157">
        <f>CEIResumida!I83</f>
        <v>0</v>
      </c>
      <c r="I10" s="155">
        <f>CEIResumida!J83</f>
        <v>0</v>
      </c>
      <c r="J10" s="157">
        <f>CEIResumida!K83</f>
        <v>0</v>
      </c>
      <c r="K10" s="156">
        <f>CEIResumida!L83</f>
        <v>0</v>
      </c>
      <c r="L10" s="157">
        <f>CEIResumida!M83</f>
        <v>0</v>
      </c>
    </row>
    <row r="11" spans="1:15">
      <c r="A11" s="367"/>
      <c r="B11" s="134" t="s">
        <v>19</v>
      </c>
      <c r="C11" s="234">
        <f>CEIResumida!D84</f>
        <v>0</v>
      </c>
      <c r="D11" s="235">
        <f>CEIResumida!E84</f>
        <v>0</v>
      </c>
      <c r="E11" s="155">
        <f>CEIResumida!F84</f>
        <v>1014660</v>
      </c>
      <c r="F11" s="157">
        <f>CEIResumida!G84</f>
        <v>0</v>
      </c>
      <c r="G11" s="155">
        <f>CEIResumida!H84</f>
        <v>0</v>
      </c>
      <c r="H11" s="157">
        <f>CEIResumida!I84</f>
        <v>67487.999999999985</v>
      </c>
      <c r="I11" s="155">
        <f>CEIResumida!J84</f>
        <v>0</v>
      </c>
      <c r="J11" s="157">
        <f>CEIResumida!K84</f>
        <v>947172</v>
      </c>
      <c r="K11" s="156">
        <f>CEIResumida!L84</f>
        <v>0</v>
      </c>
      <c r="L11" s="157">
        <f>CEIResumida!M84</f>
        <v>0</v>
      </c>
    </row>
    <row r="12" spans="1:15" ht="16.5">
      <c r="A12" s="367"/>
      <c r="B12" s="135" t="s">
        <v>34</v>
      </c>
      <c r="C12" s="241">
        <f>CEIResumida!D85</f>
        <v>0</v>
      </c>
      <c r="D12" s="239">
        <f>CEIResumida!E85</f>
        <v>0</v>
      </c>
      <c r="E12" s="166">
        <f>CEIResumida!F85</f>
        <v>86391</v>
      </c>
      <c r="F12" s="168">
        <f>CEIResumida!G85</f>
        <v>0</v>
      </c>
      <c r="G12" s="166">
        <f>CEIResumida!H85</f>
        <v>0</v>
      </c>
      <c r="H12" s="168">
        <f>CEIResumida!I85</f>
        <v>9262</v>
      </c>
      <c r="I12" s="166">
        <f>CEIResumida!J85</f>
        <v>0</v>
      </c>
      <c r="J12" s="168">
        <f>CEIResumida!K85</f>
        <v>77129</v>
      </c>
      <c r="K12" s="167">
        <f>CEIResumida!L85</f>
        <v>0</v>
      </c>
      <c r="L12" s="168">
        <f>CEIResumida!M85</f>
        <v>0</v>
      </c>
    </row>
    <row r="13" spans="1:15">
      <c r="A13" s="367" t="s">
        <v>556</v>
      </c>
      <c r="B13" s="132" t="s">
        <v>40</v>
      </c>
      <c r="C13" s="240">
        <f>CEIResumida!D86</f>
        <v>249546</v>
      </c>
      <c r="D13" s="238">
        <f>CEIResumida!E86</f>
        <v>205143</v>
      </c>
      <c r="E13" s="152">
        <f>CEIResumida!F86</f>
        <v>191053</v>
      </c>
      <c r="F13" s="154">
        <f>CEIResumida!G86</f>
        <v>446981</v>
      </c>
      <c r="G13" s="152">
        <f>CEIResumida!H86</f>
        <v>1235025</v>
      </c>
      <c r="H13" s="154">
        <f>CEIResumida!I86</f>
        <v>1060460</v>
      </c>
      <c r="I13" s="152">
        <f>CEIResumida!J86</f>
        <v>246213</v>
      </c>
      <c r="J13" s="154">
        <f>CEIResumida!K86</f>
        <v>282899</v>
      </c>
      <c r="K13" s="153">
        <f>CEIResumida!L86</f>
        <v>106219</v>
      </c>
      <c r="L13" s="154">
        <f>CEIResumida!M86</f>
        <v>32573</v>
      </c>
    </row>
    <row r="14" spans="1:15">
      <c r="A14" s="367"/>
      <c r="B14" s="133" t="s">
        <v>408</v>
      </c>
      <c r="C14" s="234">
        <f>CEIResumida!D87</f>
        <v>1888670</v>
      </c>
      <c r="D14" s="235">
        <f>CEIResumida!E87</f>
        <v>0</v>
      </c>
      <c r="E14" s="155">
        <f>CEIResumida!F87</f>
        <v>0</v>
      </c>
      <c r="F14" s="157">
        <f>CEIResumida!G87</f>
        <v>0</v>
      </c>
      <c r="G14" s="155">
        <f>CEIResumida!H87</f>
        <v>0</v>
      </c>
      <c r="H14" s="157">
        <f>CEIResumida!I87</f>
        <v>153250</v>
      </c>
      <c r="I14" s="155">
        <f>CEIResumida!J87</f>
        <v>0</v>
      </c>
      <c r="J14" s="157">
        <f>CEIResumida!K87</f>
        <v>1821126</v>
      </c>
      <c r="K14" s="156">
        <f>CEIResumida!L87</f>
        <v>85706</v>
      </c>
      <c r="L14" s="157">
        <f>CEIResumida!M87</f>
        <v>0</v>
      </c>
    </row>
    <row r="15" spans="1:15">
      <c r="A15" s="367"/>
      <c r="B15" s="133" t="s">
        <v>392</v>
      </c>
      <c r="C15" s="234">
        <f>CEIResumida!D88</f>
        <v>0</v>
      </c>
      <c r="D15" s="235">
        <f>CEIResumida!E88</f>
        <v>0</v>
      </c>
      <c r="E15" s="155">
        <f>CEIResumida!F88</f>
        <v>0</v>
      </c>
      <c r="F15" s="157">
        <f>CEIResumida!G88</f>
        <v>0</v>
      </c>
      <c r="G15" s="155">
        <f>CEIResumida!H88</f>
        <v>0</v>
      </c>
      <c r="H15" s="157">
        <f>CEIResumida!I88</f>
        <v>0</v>
      </c>
      <c r="I15" s="155">
        <f>CEIResumida!J88</f>
        <v>0</v>
      </c>
      <c r="J15" s="157">
        <f>CEIResumida!K88</f>
        <v>0</v>
      </c>
      <c r="K15" s="156">
        <f>CEIResumida!L88</f>
        <v>0</v>
      </c>
      <c r="L15" s="157">
        <f>CEIResumida!M88</f>
        <v>0</v>
      </c>
    </row>
    <row r="16" spans="1:15">
      <c r="A16" s="367"/>
      <c r="B16" s="133" t="s">
        <v>401</v>
      </c>
      <c r="C16" s="234">
        <f>CEIResumida!D89</f>
        <v>0</v>
      </c>
      <c r="D16" s="235">
        <f>CEIResumida!E89</f>
        <v>0</v>
      </c>
      <c r="E16" s="155">
        <f>CEIResumida!F89</f>
        <v>0</v>
      </c>
      <c r="F16" s="157">
        <f>CEIResumida!G89</f>
        <v>0</v>
      </c>
      <c r="G16" s="155">
        <f>CEIResumida!H89</f>
        <v>0</v>
      </c>
      <c r="H16" s="157">
        <f>CEIResumida!I89</f>
        <v>0</v>
      </c>
      <c r="I16" s="155">
        <f>CEIResumida!J89</f>
        <v>0</v>
      </c>
      <c r="J16" s="157">
        <f>CEIResumida!K89</f>
        <v>0</v>
      </c>
      <c r="K16" s="156">
        <f>CEIResumida!L89</f>
        <v>0</v>
      </c>
      <c r="L16" s="157">
        <f>CEIResumida!M89</f>
        <v>0</v>
      </c>
    </row>
    <row r="17" spans="1:12">
      <c r="A17" s="367"/>
      <c r="B17" s="243" t="s">
        <v>288</v>
      </c>
      <c r="C17" s="241">
        <f>CEIResumida!D90</f>
        <v>0</v>
      </c>
      <c r="D17" s="239">
        <f>CEIResumida!E90</f>
        <v>0</v>
      </c>
      <c r="E17" s="166">
        <f>CEIResumida!F90</f>
        <v>0</v>
      </c>
      <c r="F17" s="168">
        <f>CEIResumida!G90</f>
        <v>0</v>
      </c>
      <c r="G17" s="166">
        <f>CEIResumida!H90</f>
        <v>0</v>
      </c>
      <c r="H17" s="168">
        <f>CEIResumida!I90</f>
        <v>0</v>
      </c>
      <c r="I17" s="166">
        <f>CEIResumida!J90</f>
        <v>0</v>
      </c>
      <c r="J17" s="168">
        <f>CEIResumida!K90</f>
        <v>0</v>
      </c>
      <c r="K17" s="167">
        <f>CEIResumida!L90</f>
        <v>0</v>
      </c>
      <c r="L17" s="168">
        <f>CEIResumida!M90</f>
        <v>0</v>
      </c>
    </row>
    <row r="18" spans="1:12" ht="16.5">
      <c r="A18" s="367" t="s">
        <v>553</v>
      </c>
      <c r="B18" s="159" t="s">
        <v>453</v>
      </c>
      <c r="C18" s="234">
        <f>CEIResumida!D91</f>
        <v>0</v>
      </c>
      <c r="D18" s="235">
        <f>CEIResumida!E91</f>
        <v>362776</v>
      </c>
      <c r="E18" s="155">
        <f>CEIResumida!F91</f>
        <v>917257</v>
      </c>
      <c r="F18" s="157">
        <f>CEIResumida!G91</f>
        <v>0</v>
      </c>
      <c r="G18" s="155">
        <f>CEIResumida!H91</f>
        <v>0</v>
      </c>
      <c r="H18" s="157">
        <f>CEIResumida!I91</f>
        <v>42715</v>
      </c>
      <c r="I18" s="155">
        <f>CEIResumida!J91</f>
        <v>0</v>
      </c>
      <c r="J18" s="157">
        <f>CEIResumida!K91</f>
        <v>511766</v>
      </c>
      <c r="K18" s="156">
        <f>CEIResumida!L91</f>
        <v>0</v>
      </c>
      <c r="L18" s="157">
        <f>CEIResumida!M91</f>
        <v>0</v>
      </c>
    </row>
    <row r="19" spans="1:12">
      <c r="A19" s="367"/>
      <c r="B19" s="134" t="s">
        <v>50</v>
      </c>
      <c r="C19" s="234">
        <f>CEIResumida!D92</f>
        <v>0</v>
      </c>
      <c r="D19" s="235">
        <f>CEIResumida!E92</f>
        <v>895266</v>
      </c>
      <c r="E19" s="155">
        <f>CEIResumida!F92</f>
        <v>800730</v>
      </c>
      <c r="F19" s="157">
        <f>CEIResumida!G92</f>
        <v>0</v>
      </c>
      <c r="G19" s="155">
        <f>CEIResumida!H92</f>
        <v>94536</v>
      </c>
      <c r="H19" s="157">
        <f>CEIResumida!I92</f>
        <v>0</v>
      </c>
      <c r="I19" s="155">
        <f>CEIResumida!J92</f>
        <v>0</v>
      </c>
      <c r="J19" s="157">
        <f>CEIResumida!K92</f>
        <v>0</v>
      </c>
      <c r="K19" s="156">
        <f>CEIResumida!L92</f>
        <v>0</v>
      </c>
      <c r="L19" s="157">
        <f>CEIResumida!M92</f>
        <v>0</v>
      </c>
    </row>
    <row r="20" spans="1:12" ht="16.5">
      <c r="A20" s="367"/>
      <c r="B20" s="134" t="s">
        <v>455</v>
      </c>
      <c r="C20" s="234">
        <f>CEIResumida!D93</f>
        <v>1254637</v>
      </c>
      <c r="D20" s="235">
        <f>CEIResumida!E93</f>
        <v>0</v>
      </c>
      <c r="E20" s="155">
        <f>CEIResumida!F93</f>
        <v>0</v>
      </c>
      <c r="F20" s="157">
        <f>CEIResumida!G93</f>
        <v>1254637</v>
      </c>
      <c r="G20" s="155">
        <f>CEIResumida!H93</f>
        <v>0</v>
      </c>
      <c r="H20" s="157">
        <f>CEIResumida!I93</f>
        <v>0</v>
      </c>
      <c r="I20" s="155">
        <f>CEIResumida!J93</f>
        <v>0</v>
      </c>
      <c r="J20" s="157">
        <f>CEIResumida!K93</f>
        <v>0</v>
      </c>
      <c r="K20" s="156">
        <f>CEIResumida!L93</f>
        <v>0</v>
      </c>
      <c r="L20" s="157">
        <f>CEIResumida!M93</f>
        <v>0</v>
      </c>
    </row>
    <row r="21" spans="1:12">
      <c r="A21" s="367"/>
      <c r="B21" s="134" t="s">
        <v>456</v>
      </c>
      <c r="C21" s="234">
        <f>CEIResumida!D94</f>
        <v>717798</v>
      </c>
      <c r="D21" s="235">
        <f>CEIResumida!E94</f>
        <v>0</v>
      </c>
      <c r="E21" s="155">
        <f>CEIResumida!F94</f>
        <v>0</v>
      </c>
      <c r="F21" s="157">
        <f>CEIResumida!G94</f>
        <v>624646</v>
      </c>
      <c r="G21" s="155">
        <f>CEIResumida!H94</f>
        <v>0</v>
      </c>
      <c r="H21" s="157">
        <f>CEIResumida!I94</f>
        <v>93152</v>
      </c>
      <c r="I21" s="155">
        <f>CEIResumida!J94</f>
        <v>0</v>
      </c>
      <c r="J21" s="157">
        <f>CEIResumida!K94</f>
        <v>0</v>
      </c>
      <c r="K21" s="156">
        <f>CEIResumida!L94</f>
        <v>0</v>
      </c>
      <c r="L21" s="157">
        <f>CEIResumida!M94</f>
        <v>0</v>
      </c>
    </row>
    <row r="22" spans="1:12">
      <c r="A22" s="367"/>
      <c r="B22" s="135" t="s">
        <v>65</v>
      </c>
      <c r="C22" s="241">
        <f>CEIResumida!D95</f>
        <v>35242</v>
      </c>
      <c r="D22" s="239">
        <f>CEIResumida!E95</f>
        <v>0</v>
      </c>
      <c r="E22" s="166">
        <f>CEIResumida!F95</f>
        <v>70054</v>
      </c>
      <c r="F22" s="168">
        <f>CEIResumida!G95</f>
        <v>0</v>
      </c>
      <c r="G22" s="166">
        <f>CEIResumida!H95</f>
        <v>0</v>
      </c>
      <c r="H22" s="168">
        <f>CEIResumida!I95</f>
        <v>13352</v>
      </c>
      <c r="I22" s="166">
        <f>CEIResumida!J95</f>
        <v>0</v>
      </c>
      <c r="J22" s="168">
        <f>CEIResumida!K95</f>
        <v>59170</v>
      </c>
      <c r="K22" s="167">
        <f>CEIResumida!L95</f>
        <v>0</v>
      </c>
      <c r="L22" s="168">
        <f>CEIResumida!M95</f>
        <v>32774</v>
      </c>
    </row>
    <row r="23" spans="1:12">
      <c r="A23" s="367" t="s">
        <v>554</v>
      </c>
      <c r="B23" s="134" t="s">
        <v>79</v>
      </c>
      <c r="C23" s="234">
        <f>CEIResumida!D96</f>
        <v>0</v>
      </c>
      <c r="D23" s="235">
        <f>CEIResumida!E96</f>
        <v>4805004</v>
      </c>
      <c r="E23" s="155">
        <f>CEIResumida!F96</f>
        <v>0</v>
      </c>
      <c r="F23" s="157">
        <f>CEIResumida!G96</f>
        <v>1532204</v>
      </c>
      <c r="G23" s="155">
        <f>CEIResumida!H96</f>
        <v>0</v>
      </c>
      <c r="H23" s="157">
        <f>CEIResumida!I96</f>
        <v>0</v>
      </c>
      <c r="I23" s="155">
        <f>CEIResumida!J96</f>
        <v>0</v>
      </c>
      <c r="J23" s="157">
        <f>CEIResumida!K96</f>
        <v>0</v>
      </c>
      <c r="K23" s="156">
        <f>CEIResumida!L96</f>
        <v>0</v>
      </c>
      <c r="L23" s="157">
        <f>CEIResumida!M96</f>
        <v>0</v>
      </c>
    </row>
    <row r="24" spans="1:12">
      <c r="A24" s="367"/>
      <c r="B24" s="134" t="s">
        <v>404</v>
      </c>
      <c r="C24" s="234">
        <f>CEIResumida!D97</f>
        <v>0</v>
      </c>
      <c r="D24" s="235">
        <f>CEIResumida!E97</f>
        <v>0</v>
      </c>
      <c r="E24" s="155">
        <f>CEIResumida!F97</f>
        <v>0</v>
      </c>
      <c r="F24" s="157">
        <f>CEIResumida!G97</f>
        <v>0</v>
      </c>
      <c r="G24" s="155">
        <f>CEIResumida!H97</f>
        <v>0</v>
      </c>
      <c r="H24" s="157">
        <f>CEIResumida!I97</f>
        <v>0</v>
      </c>
      <c r="I24" s="155">
        <f>CEIResumida!J97</f>
        <v>0</v>
      </c>
      <c r="J24" s="157">
        <f>CEIResumida!K97</f>
        <v>0</v>
      </c>
      <c r="K24" s="156">
        <f>CEIResumida!L97</f>
        <v>0</v>
      </c>
      <c r="L24" s="157">
        <f>CEIResumida!M97</f>
        <v>0</v>
      </c>
    </row>
    <row r="25" spans="1:12">
      <c r="A25" s="367"/>
      <c r="B25" s="134" t="s">
        <v>87</v>
      </c>
      <c r="C25" s="234">
        <f>CEIResumida!D98</f>
        <v>0</v>
      </c>
      <c r="D25" s="235">
        <f>CEIResumida!E98</f>
        <v>410010</v>
      </c>
      <c r="E25" s="155">
        <f>CEIResumida!F98</f>
        <v>0</v>
      </c>
      <c r="F25" s="157">
        <f>CEIResumida!G98</f>
        <v>139686</v>
      </c>
      <c r="G25" s="155">
        <f>CEIResumida!H98</f>
        <v>0</v>
      </c>
      <c r="H25" s="157">
        <f>CEIResumida!I98</f>
        <v>13718</v>
      </c>
      <c r="I25" s="155">
        <f>CEIResumida!J98</f>
        <v>0</v>
      </c>
      <c r="J25" s="157">
        <f>CEIResumida!K98</f>
        <v>696813</v>
      </c>
      <c r="K25" s="156">
        <f>CEIResumida!L98</f>
        <v>0</v>
      </c>
      <c r="L25" s="157">
        <f>CEIResumida!M98</f>
        <v>0</v>
      </c>
    </row>
    <row r="26" spans="1:12">
      <c r="A26" s="367"/>
      <c r="B26" s="134" t="s">
        <v>89</v>
      </c>
      <c r="C26" s="234">
        <f>CEIResumida!D99</f>
        <v>0</v>
      </c>
      <c r="D26" s="235">
        <f>CEIResumida!E99</f>
        <v>0</v>
      </c>
      <c r="E26" s="155">
        <f>CEIResumida!F99</f>
        <v>0</v>
      </c>
      <c r="F26" s="157">
        <f>CEIResumida!G99</f>
        <v>0</v>
      </c>
      <c r="G26" s="155">
        <f>CEIResumida!H99</f>
        <v>0</v>
      </c>
      <c r="H26" s="157">
        <f>CEIResumida!I99</f>
        <v>0</v>
      </c>
      <c r="I26" s="155">
        <f>CEIResumida!J99</f>
        <v>0</v>
      </c>
      <c r="J26" s="157">
        <f>CEIResumida!K99</f>
        <v>-33878</v>
      </c>
      <c r="K26" s="156">
        <f>CEIResumida!L99</f>
        <v>0</v>
      </c>
      <c r="L26" s="157">
        <f>CEIResumida!M99</f>
        <v>0</v>
      </c>
    </row>
    <row r="27" spans="1:12" ht="16.5">
      <c r="A27" s="367"/>
      <c r="B27" s="135" t="s">
        <v>410</v>
      </c>
      <c r="C27" s="241">
        <f>CEIResumida!D100</f>
        <v>0</v>
      </c>
      <c r="D27" s="239">
        <f>CEIResumida!E100</f>
        <v>0</v>
      </c>
      <c r="E27" s="166">
        <f>CEIResumida!F100</f>
        <v>0</v>
      </c>
      <c r="F27" s="168">
        <f>CEIResumida!G100</f>
        <v>0</v>
      </c>
      <c r="G27" s="166">
        <f>CEIResumida!H100</f>
        <v>0</v>
      </c>
      <c r="H27" s="168">
        <f>CEIResumida!I100</f>
        <v>0</v>
      </c>
      <c r="I27" s="166">
        <f>CEIResumida!J100</f>
        <v>0</v>
      </c>
      <c r="J27" s="168">
        <f>CEIResumida!K100</f>
        <v>0</v>
      </c>
      <c r="K27" s="156">
        <f>CEIResumida!L100</f>
        <v>0</v>
      </c>
      <c r="L27" s="157">
        <f>CEIResumida!M100</f>
        <v>0</v>
      </c>
    </row>
    <row r="28" spans="1:12" ht="16.5">
      <c r="B28" s="137" t="s">
        <v>189</v>
      </c>
      <c r="C28" s="364">
        <f>SUM(C7:C27)-SUM(D7:D27)</f>
        <v>562272</v>
      </c>
      <c r="D28" s="360"/>
      <c r="E28" s="364">
        <f>SUM(E7:E27)-SUM(F7:F27)</f>
        <v>-918009</v>
      </c>
      <c r="F28" s="360"/>
      <c r="G28" s="364">
        <f>SUM(G7:G27)-SUM(H7:H27)</f>
        <v>216917</v>
      </c>
      <c r="H28" s="360"/>
      <c r="I28" s="364">
        <f>SUM(I7:I27)-SUM(J7:J27)</f>
        <v>58282</v>
      </c>
      <c r="J28" s="360"/>
      <c r="K28" s="364">
        <f>SUM(K7:K27)-SUM(L7:L27)</f>
        <v>80538</v>
      </c>
      <c r="L28" s="360"/>
    </row>
    <row r="29" spans="1:12">
      <c r="B29" s="137" t="s">
        <v>415</v>
      </c>
      <c r="C29" s="360">
        <v>562272</v>
      </c>
      <c r="D29" s="361"/>
      <c r="E29" s="360">
        <v>-918009</v>
      </c>
      <c r="F29" s="361"/>
      <c r="G29" s="360">
        <v>149429</v>
      </c>
      <c r="H29" s="361"/>
      <c r="I29" s="360">
        <v>125770</v>
      </c>
      <c r="J29" s="361"/>
      <c r="K29" s="360">
        <v>80538</v>
      </c>
      <c r="L29" s="361"/>
    </row>
    <row r="35" spans="1:15">
      <c r="C35" s="313" t="s">
        <v>2</v>
      </c>
      <c r="D35" s="314"/>
      <c r="E35" s="313" t="s">
        <v>293</v>
      </c>
      <c r="F35" s="314"/>
      <c r="G35" s="313" t="s">
        <v>266</v>
      </c>
      <c r="H35" s="314"/>
      <c r="I35" s="313" t="s">
        <v>265</v>
      </c>
      <c r="J35" s="314"/>
      <c r="K35" s="313" t="s">
        <v>412</v>
      </c>
      <c r="L35" s="314"/>
    </row>
    <row r="36" spans="1:15">
      <c r="C36" s="315"/>
      <c r="D36" s="316"/>
      <c r="E36" s="315"/>
      <c r="F36" s="316"/>
      <c r="G36" s="315"/>
      <c r="H36" s="316"/>
      <c r="I36" s="315"/>
      <c r="J36" s="316"/>
      <c r="K36" s="315"/>
      <c r="L36" s="316"/>
    </row>
    <row r="37" spans="1:15">
      <c r="C37" s="315"/>
      <c r="D37" s="316"/>
      <c r="E37" s="315"/>
      <c r="F37" s="316"/>
      <c r="G37" s="315"/>
      <c r="H37" s="316"/>
      <c r="I37" s="315"/>
      <c r="J37" s="316"/>
      <c r="K37" s="315"/>
      <c r="L37" s="316"/>
    </row>
    <row r="38" spans="1:15">
      <c r="C38" s="315"/>
      <c r="D38" s="316"/>
      <c r="E38" s="315"/>
      <c r="F38" s="316"/>
      <c r="G38" s="315"/>
      <c r="H38" s="316"/>
      <c r="I38" s="315"/>
      <c r="J38" s="316"/>
      <c r="K38" s="315"/>
      <c r="L38" s="316"/>
    </row>
    <row r="39" spans="1:15">
      <c r="C39" s="242" t="s">
        <v>413</v>
      </c>
      <c r="D39" s="242" t="s">
        <v>414</v>
      </c>
      <c r="E39" s="242" t="s">
        <v>413</v>
      </c>
      <c r="F39" s="242" t="s">
        <v>414</v>
      </c>
      <c r="G39" s="242" t="s">
        <v>413</v>
      </c>
      <c r="H39" s="242" t="s">
        <v>414</v>
      </c>
      <c r="I39" s="242" t="s">
        <v>413</v>
      </c>
      <c r="J39" s="242" t="s">
        <v>414</v>
      </c>
      <c r="K39" s="242" t="s">
        <v>413</v>
      </c>
      <c r="L39" s="242" t="s">
        <v>414</v>
      </c>
      <c r="N39" s="230" t="s">
        <v>540</v>
      </c>
      <c r="O39" s="230" t="s">
        <v>541</v>
      </c>
    </row>
    <row r="40" spans="1:15" ht="16.5">
      <c r="B40" s="131" t="s">
        <v>98</v>
      </c>
      <c r="C40" s="236"/>
      <c r="D40" s="237"/>
      <c r="E40" s="160"/>
      <c r="F40" s="150"/>
      <c r="G40" s="160"/>
      <c r="H40" s="150"/>
      <c r="I40" s="160"/>
      <c r="J40" s="150"/>
      <c r="K40" s="169"/>
      <c r="L40" s="150"/>
      <c r="M40" s="151"/>
      <c r="N40" s="158">
        <f>G40+I40</f>
        <v>0</v>
      </c>
      <c r="O40" s="158">
        <f>N40-J44</f>
        <v>0</v>
      </c>
    </row>
    <row r="41" spans="1:15">
      <c r="A41" s="367" t="s">
        <v>555</v>
      </c>
      <c r="B41" s="132" t="s">
        <v>389</v>
      </c>
      <c r="C41" s="240"/>
      <c r="D41" s="238"/>
      <c r="E41" s="152"/>
      <c r="F41" s="154"/>
      <c r="G41" s="152"/>
      <c r="H41" s="154"/>
      <c r="I41" s="152"/>
      <c r="J41" s="154"/>
      <c r="K41" s="153"/>
      <c r="L41" s="154"/>
    </row>
    <row r="42" spans="1:15">
      <c r="A42" s="367"/>
      <c r="B42" s="133" t="s">
        <v>28</v>
      </c>
      <c r="C42" s="234"/>
      <c r="D42" s="235"/>
      <c r="E42" s="155"/>
      <c r="F42" s="157"/>
      <c r="G42" s="155"/>
      <c r="H42" s="157"/>
      <c r="I42" s="155"/>
      <c r="J42" s="157"/>
      <c r="K42" s="156"/>
      <c r="L42" s="157"/>
    </row>
    <row r="43" spans="1:15">
      <c r="A43" s="367"/>
      <c r="B43" s="133" t="s">
        <v>542</v>
      </c>
      <c r="C43" s="234"/>
      <c r="D43" s="235"/>
      <c r="E43" s="155"/>
      <c r="F43" s="157"/>
      <c r="G43" s="155"/>
      <c r="H43" s="157"/>
      <c r="I43" s="155"/>
      <c r="J43" s="157"/>
      <c r="K43" s="156"/>
      <c r="L43" s="157"/>
    </row>
    <row r="44" spans="1:15">
      <c r="A44" s="367"/>
      <c r="B44" s="134" t="s">
        <v>19</v>
      </c>
      <c r="C44" s="234"/>
      <c r="D44" s="235"/>
      <c r="E44" s="155"/>
      <c r="F44" s="157"/>
      <c r="G44" s="155"/>
      <c r="H44" s="157"/>
      <c r="I44" s="155"/>
      <c r="J44" s="157"/>
      <c r="K44" s="156"/>
      <c r="L44" s="157"/>
    </row>
    <row r="45" spans="1:15" ht="16.5">
      <c r="A45" s="367"/>
      <c r="B45" s="135" t="s">
        <v>34</v>
      </c>
      <c r="C45" s="241"/>
      <c r="D45" s="239"/>
      <c r="E45" s="166"/>
      <c r="F45" s="168"/>
      <c r="G45" s="166"/>
      <c r="H45" s="168"/>
      <c r="I45" s="166"/>
      <c r="J45" s="168"/>
      <c r="K45" s="167"/>
      <c r="L45" s="168"/>
    </row>
    <row r="46" spans="1:15">
      <c r="A46" s="367" t="s">
        <v>556</v>
      </c>
      <c r="B46" s="132" t="s">
        <v>40</v>
      </c>
      <c r="C46" s="263">
        <f>CEIResumida!D86/CEIResumida!D141</f>
        <v>0.25914929544116316</v>
      </c>
      <c r="D46" s="264">
        <f>CEIResumida!E86/CEIResumida!E141</f>
        <v>8.5190471464267156E-2</v>
      </c>
      <c r="E46" s="265">
        <f>CEIResumida!F86/CEIResumida!F141</f>
        <v>0.10513893199673334</v>
      </c>
      <c r="F46" s="244">
        <f>CEIResumida!G86/CEIResumida!G141</f>
        <v>5.8160930458300286E-2</v>
      </c>
      <c r="G46" s="265">
        <f>CEIResumida!H86/CEIResumida!H141</f>
        <v>7.6863062233361368E-2</v>
      </c>
      <c r="H46" s="244">
        <f>CEIResumida!I86/CEIResumida!I141</f>
        <v>0.13700196357509417</v>
      </c>
      <c r="I46" s="265">
        <f>CEIResumida!J86/CEIResumida!J141</f>
        <v>0.1378061435235092</v>
      </c>
      <c r="J46" s="244">
        <f>CEIResumida!K86/CEIResumida!K141</f>
        <v>7.3535822261547756E-2</v>
      </c>
      <c r="K46" s="266">
        <f>CEIResumida!L86/CEIResumida!L141</f>
        <v>3.8919962699213863E-2</v>
      </c>
      <c r="L46" s="244">
        <f>CEIResumida!M86/CEIResumida!M141</f>
        <v>1.9355107061259778E-2</v>
      </c>
    </row>
    <row r="47" spans="1:15">
      <c r="A47" s="367"/>
      <c r="B47" s="133" t="s">
        <v>408</v>
      </c>
      <c r="C47" s="250">
        <f>C14/(C14+K14)</f>
        <v>0.95659084186598697</v>
      </c>
      <c r="D47" s="235"/>
      <c r="E47" s="155"/>
      <c r="F47" s="157"/>
      <c r="G47" s="155"/>
      <c r="H47" s="245">
        <f>H14/(SUM(G7:G13)-SUM(H7:H13)-H18-H22)</f>
        <v>0.40065254731360178</v>
      </c>
      <c r="I47" s="155"/>
      <c r="J47" s="245">
        <f>J14/(SUM(I7:I13)-SUM(J7:J13)-J18-J22)</f>
        <v>0.71631797912398132</v>
      </c>
      <c r="K47" s="251">
        <f>1-C47</f>
        <v>4.3409158134013026E-2</v>
      </c>
      <c r="L47" s="157"/>
    </row>
    <row r="48" spans="1:15">
      <c r="A48" s="367"/>
      <c r="B48" s="133" t="s">
        <v>392</v>
      </c>
      <c r="C48" s="234"/>
      <c r="D48" s="235"/>
      <c r="E48" s="155"/>
      <c r="F48" s="157"/>
      <c r="G48" s="155"/>
      <c r="H48" s="157"/>
      <c r="I48" s="155"/>
      <c r="J48" s="157"/>
      <c r="K48" s="156"/>
      <c r="L48" s="157"/>
    </row>
    <row r="49" spans="1:12">
      <c r="A49" s="367"/>
      <c r="B49" s="133" t="s">
        <v>401</v>
      </c>
      <c r="C49" s="234"/>
      <c r="D49" s="235"/>
      <c r="E49" s="155"/>
      <c r="F49" s="157"/>
      <c r="G49" s="155"/>
      <c r="H49" s="157"/>
      <c r="I49" s="155"/>
      <c r="J49" s="157"/>
      <c r="K49" s="156"/>
      <c r="L49" s="157"/>
    </row>
    <row r="50" spans="1:12">
      <c r="A50" s="367"/>
      <c r="B50" s="243" t="s">
        <v>288</v>
      </c>
      <c r="C50" s="241"/>
      <c r="D50" s="239"/>
      <c r="E50" s="166"/>
      <c r="F50" s="168"/>
      <c r="G50" s="166"/>
      <c r="H50" s="168"/>
      <c r="I50" s="166"/>
      <c r="J50" s="168"/>
      <c r="K50" s="167"/>
      <c r="L50" s="168"/>
    </row>
    <row r="51" spans="1:12" ht="16.5">
      <c r="A51" s="367" t="s">
        <v>553</v>
      </c>
      <c r="B51" s="159" t="s">
        <v>453</v>
      </c>
      <c r="C51" s="234"/>
      <c r="D51" s="245">
        <f>D18/(SUM(C7:C13)-SUM(D7:D13))</f>
        <v>0.11557126341319046</v>
      </c>
      <c r="E51" s="155"/>
      <c r="F51" s="157"/>
      <c r="G51" s="155"/>
      <c r="H51" s="245">
        <f>H18/(SUM(G7:G13)-SUM(H7:H13))</f>
        <v>9.7396526878386014E-2</v>
      </c>
      <c r="I51" s="155"/>
      <c r="J51" s="245">
        <f>J18/(SUM(I7:I13)-SUM(J7:J13))</f>
        <v>0.16438166961586159</v>
      </c>
      <c r="K51" s="156"/>
      <c r="L51" s="157"/>
    </row>
    <row r="52" spans="1:12">
      <c r="A52" s="367"/>
      <c r="B52" s="134" t="s">
        <v>50</v>
      </c>
      <c r="C52" s="234"/>
      <c r="D52" s="235"/>
      <c r="E52" s="155"/>
      <c r="F52" s="157"/>
      <c r="G52" s="155"/>
      <c r="H52" s="157"/>
      <c r="I52" s="155"/>
      <c r="J52" s="157"/>
      <c r="K52" s="156"/>
      <c r="L52" s="157"/>
    </row>
    <row r="53" spans="1:12" ht="16.5">
      <c r="A53" s="367"/>
      <c r="B53" s="134" t="s">
        <v>455</v>
      </c>
      <c r="C53" s="234"/>
      <c r="D53" s="235"/>
      <c r="E53" s="155"/>
      <c r="F53" s="157"/>
      <c r="G53" s="155"/>
      <c r="H53" s="157"/>
      <c r="I53" s="155"/>
      <c r="J53" s="157"/>
      <c r="K53" s="156"/>
      <c r="L53" s="157"/>
    </row>
    <row r="54" spans="1:12">
      <c r="A54" s="367"/>
      <c r="B54" s="134" t="s">
        <v>456</v>
      </c>
      <c r="C54" s="234"/>
      <c r="D54" s="235"/>
      <c r="E54" s="155"/>
      <c r="F54" s="157"/>
      <c r="G54" s="155"/>
      <c r="H54" s="157"/>
      <c r="I54" s="155"/>
      <c r="J54" s="157"/>
      <c r="K54" s="156"/>
      <c r="L54" s="157"/>
    </row>
    <row r="55" spans="1:12">
      <c r="A55" s="367"/>
      <c r="B55" s="135" t="s">
        <v>65</v>
      </c>
      <c r="C55" s="241"/>
      <c r="D55" s="239"/>
      <c r="E55" s="166"/>
      <c r="F55" s="168"/>
      <c r="G55" s="166"/>
      <c r="H55" s="168"/>
      <c r="I55" s="166"/>
      <c r="J55" s="168"/>
      <c r="K55" s="167"/>
      <c r="L55" s="168"/>
    </row>
    <row r="56" spans="1:12">
      <c r="A56" s="367" t="s">
        <v>554</v>
      </c>
      <c r="B56" s="134" t="s">
        <v>79</v>
      </c>
      <c r="C56" s="234"/>
      <c r="D56" s="246">
        <f>D23/(SUM(C8:C22)-SUM(D8:D22))</f>
        <v>0.83170609867678358</v>
      </c>
      <c r="E56" s="155"/>
      <c r="F56" s="157"/>
      <c r="G56" s="155"/>
      <c r="H56" s="157"/>
      <c r="I56" s="155"/>
      <c r="J56" s="157"/>
      <c r="K56" s="156"/>
      <c r="L56" s="157"/>
    </row>
    <row r="57" spans="1:12">
      <c r="A57" s="367"/>
      <c r="B57" s="134" t="s">
        <v>404</v>
      </c>
      <c r="C57" s="234"/>
      <c r="D57" s="235"/>
      <c r="E57" s="155"/>
      <c r="F57" s="157"/>
      <c r="G57" s="155"/>
      <c r="H57" s="157"/>
      <c r="I57" s="155"/>
      <c r="J57" s="157"/>
      <c r="K57" s="156"/>
      <c r="L57" s="157"/>
    </row>
    <row r="58" spans="1:12">
      <c r="A58" s="367"/>
      <c r="B58" s="134" t="s">
        <v>87</v>
      </c>
      <c r="C58" s="234"/>
      <c r="D58" s="247">
        <f>D25/(SUM(C8:C22)-SUM(D8:D22))</f>
        <v>7.0969309810869671E-2</v>
      </c>
      <c r="E58" s="155"/>
      <c r="F58" s="157"/>
      <c r="G58" s="155"/>
      <c r="H58" s="157"/>
      <c r="I58" s="155"/>
      <c r="J58" s="245">
        <f>J25/I7</f>
        <v>9.8314948771502292E-2</v>
      </c>
      <c r="K58" s="156"/>
      <c r="L58" s="157"/>
    </row>
    <row r="59" spans="1:12">
      <c r="A59" s="367"/>
      <c r="B59" s="134" t="s">
        <v>89</v>
      </c>
      <c r="C59" s="234"/>
      <c r="D59" s="235"/>
      <c r="E59" s="155"/>
      <c r="F59" s="157"/>
      <c r="G59" s="155"/>
      <c r="H59" s="157"/>
      <c r="I59" s="155"/>
      <c r="J59" s="157"/>
      <c r="K59" s="156"/>
      <c r="L59" s="157"/>
    </row>
    <row r="60" spans="1:12" ht="16.5">
      <c r="A60" s="367"/>
      <c r="B60" s="135" t="s">
        <v>410</v>
      </c>
      <c r="C60" s="241"/>
      <c r="D60" s="239"/>
      <c r="E60" s="166"/>
      <c r="F60" s="168"/>
      <c r="G60" s="166"/>
      <c r="H60" s="168"/>
      <c r="I60" s="166"/>
      <c r="J60" s="168"/>
      <c r="K60" s="156"/>
      <c r="L60" s="157"/>
    </row>
    <row r="61" spans="1:12" ht="16.5">
      <c r="B61" s="137" t="s">
        <v>189</v>
      </c>
      <c r="C61" s="364"/>
      <c r="D61" s="360"/>
      <c r="E61" s="364"/>
      <c r="F61" s="360"/>
      <c r="G61" s="364"/>
      <c r="H61" s="360"/>
      <c r="I61" s="364"/>
      <c r="J61" s="360"/>
      <c r="K61" s="364"/>
      <c r="L61" s="360"/>
    </row>
    <row r="62" spans="1:12">
      <c r="B62" s="46" t="s">
        <v>415</v>
      </c>
      <c r="C62" s="364">
        <v>562272</v>
      </c>
      <c r="D62" s="360"/>
      <c r="E62" s="364">
        <v>-918009</v>
      </c>
      <c r="F62" s="360"/>
      <c r="G62" s="364">
        <v>216917</v>
      </c>
      <c r="H62" s="360"/>
      <c r="I62" s="364">
        <v>58282</v>
      </c>
      <c r="J62" s="360"/>
      <c r="K62" s="365">
        <v>80538</v>
      </c>
      <c r="L62" s="366"/>
    </row>
  </sheetData>
  <mergeCells count="38">
    <mergeCell ref="E29:F29"/>
    <mergeCell ref="G29:H29"/>
    <mergeCell ref="I29:J29"/>
    <mergeCell ref="K29:L29"/>
    <mergeCell ref="C2:D5"/>
    <mergeCell ref="E2:F5"/>
    <mergeCell ref="G2:H5"/>
    <mergeCell ref="I2:J5"/>
    <mergeCell ref="K2:L5"/>
    <mergeCell ref="E28:F28"/>
    <mergeCell ref="G28:H28"/>
    <mergeCell ref="I28:J28"/>
    <mergeCell ref="K28:L28"/>
    <mergeCell ref="G61:H61"/>
    <mergeCell ref="I61:J61"/>
    <mergeCell ref="K61:L61"/>
    <mergeCell ref="C62:D62"/>
    <mergeCell ref="E62:F62"/>
    <mergeCell ref="G62:H62"/>
    <mergeCell ref="I62:J62"/>
    <mergeCell ref="K62:L62"/>
    <mergeCell ref="A46:A50"/>
    <mergeCell ref="A51:A55"/>
    <mergeCell ref="A56:A60"/>
    <mergeCell ref="C61:D61"/>
    <mergeCell ref="E61:F61"/>
    <mergeCell ref="E35:F38"/>
    <mergeCell ref="G35:H38"/>
    <mergeCell ref="I35:J38"/>
    <mergeCell ref="K35:L38"/>
    <mergeCell ref="A41:A45"/>
    <mergeCell ref="A8:A12"/>
    <mergeCell ref="A18:A22"/>
    <mergeCell ref="A13:A17"/>
    <mergeCell ref="A23:A27"/>
    <mergeCell ref="C35:D38"/>
    <mergeCell ref="C29:D29"/>
    <mergeCell ref="C28:D28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C0ED-A394-4CB1-BC43-6D7B38D20708}">
  <dimension ref="A1:AK73"/>
  <sheetViews>
    <sheetView topLeftCell="O30" zoomScale="145" zoomScaleNormal="145" workbookViewId="0">
      <selection activeCell="AF51" sqref="AF51"/>
    </sheetView>
  </sheetViews>
  <sheetFormatPr defaultColWidth="16.19921875" defaultRowHeight="8.25"/>
  <cols>
    <col min="1" max="1" width="56.3984375" style="197" customWidth="1"/>
    <col min="2" max="2" width="9.59765625" style="197" customWidth="1"/>
    <col min="3" max="3" width="11.3984375" style="197" bestFit="1" customWidth="1"/>
    <col min="4" max="10" width="9" style="197" customWidth="1"/>
    <col min="11" max="11" width="10.19921875" style="197" customWidth="1"/>
    <col min="12" max="12" width="9" style="197" customWidth="1"/>
    <col min="13" max="13" width="10.3984375" style="197" bestFit="1" customWidth="1"/>
    <col min="14" max="15" width="9" style="197" customWidth="1"/>
    <col min="16" max="16" width="10" style="197" customWidth="1"/>
    <col min="17" max="22" width="9" style="197" customWidth="1"/>
    <col min="23" max="23" width="9.796875" style="197" customWidth="1"/>
    <col min="24" max="24" width="10.59765625" style="197" customWidth="1"/>
    <col min="25" max="29" width="9" style="197" customWidth="1"/>
    <col min="30" max="30" width="10" style="197" bestFit="1" customWidth="1"/>
    <col min="31" max="31" width="9.59765625" style="197" bestFit="1" customWidth="1"/>
    <col min="32" max="32" width="9.59765625" style="197" customWidth="1"/>
    <col min="33" max="16384" width="16.19921875" style="197"/>
  </cols>
  <sheetData>
    <row r="1" spans="1:27" s="171" customFormat="1" ht="12" customHeight="1">
      <c r="A1" s="170" t="s">
        <v>483</v>
      </c>
    </row>
    <row r="2" spans="1:27" s="171" customFormat="1" ht="6.75" customHeight="1"/>
    <row r="3" spans="1:27" s="171" customFormat="1" ht="12" customHeight="1">
      <c r="A3" s="172" t="s">
        <v>484</v>
      </c>
      <c r="J3" s="173"/>
      <c r="W3" s="174"/>
    </row>
    <row r="4" spans="1:27" s="54" customFormat="1" ht="10.15" customHeight="1">
      <c r="A4" s="175"/>
      <c r="J4" s="176"/>
      <c r="W4" s="177"/>
      <c r="X4" s="177"/>
      <c r="Y4" s="178" t="s">
        <v>485</v>
      </c>
    </row>
    <row r="5" spans="1:27" s="54" customFormat="1" ht="12" customHeight="1" thickBot="1">
      <c r="A5" s="397" t="s">
        <v>471</v>
      </c>
      <c r="B5" s="179" t="s">
        <v>486</v>
      </c>
      <c r="C5" s="180"/>
      <c r="D5" s="180"/>
      <c r="E5" s="180"/>
      <c r="F5" s="180"/>
      <c r="G5" s="180"/>
      <c r="H5" s="180"/>
      <c r="I5" s="180"/>
      <c r="J5" s="181"/>
      <c r="K5" s="182" t="s">
        <v>487</v>
      </c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4"/>
      <c r="X5" s="412" t="s">
        <v>488</v>
      </c>
      <c r="Y5" s="415" t="s">
        <v>489</v>
      </c>
    </row>
    <row r="6" spans="1:27" s="54" customFormat="1" ht="21" customHeight="1" thickTop="1">
      <c r="A6" s="397"/>
      <c r="B6" s="411" t="s">
        <v>490</v>
      </c>
      <c r="C6" s="411" t="s">
        <v>491</v>
      </c>
      <c r="D6" s="411" t="s">
        <v>492</v>
      </c>
      <c r="E6" s="411" t="s">
        <v>493</v>
      </c>
      <c r="F6" s="408" t="s">
        <v>494</v>
      </c>
      <c r="G6" s="411" t="s">
        <v>495</v>
      </c>
      <c r="H6" s="411" t="s">
        <v>496</v>
      </c>
      <c r="I6" s="411" t="s">
        <v>497</v>
      </c>
      <c r="J6" s="411" t="s">
        <v>498</v>
      </c>
      <c r="K6" s="403" t="s">
        <v>499</v>
      </c>
      <c r="L6" s="403" t="s">
        <v>473</v>
      </c>
      <c r="M6" s="403" t="s">
        <v>500</v>
      </c>
      <c r="N6" s="403" t="s">
        <v>501</v>
      </c>
      <c r="O6" s="403" t="s">
        <v>502</v>
      </c>
      <c r="P6" s="403" t="s">
        <v>476</v>
      </c>
      <c r="Q6" s="403" t="s">
        <v>503</v>
      </c>
      <c r="R6" s="403" t="s">
        <v>504</v>
      </c>
      <c r="S6" s="403" t="s">
        <v>505</v>
      </c>
      <c r="T6" s="403" t="s">
        <v>506</v>
      </c>
      <c r="U6" s="403" t="s">
        <v>481</v>
      </c>
      <c r="V6" s="403" t="s">
        <v>507</v>
      </c>
      <c r="W6" s="403" t="s">
        <v>508</v>
      </c>
      <c r="X6" s="413"/>
      <c r="Y6" s="415"/>
      <c r="AA6" s="185"/>
    </row>
    <row r="7" spans="1:27" s="54" customFormat="1" ht="21" customHeight="1">
      <c r="A7" s="397"/>
      <c r="B7" s="417"/>
      <c r="C7" s="400"/>
      <c r="D7" s="400"/>
      <c r="E7" s="399"/>
      <c r="F7" s="409"/>
      <c r="G7" s="399"/>
      <c r="H7" s="399"/>
      <c r="I7" s="399"/>
      <c r="J7" s="399"/>
      <c r="K7" s="404"/>
      <c r="L7" s="404"/>
      <c r="M7" s="404"/>
      <c r="N7" s="404"/>
      <c r="O7" s="404"/>
      <c r="P7" s="404"/>
      <c r="Q7" s="404"/>
      <c r="R7" s="404"/>
      <c r="S7" s="406"/>
      <c r="T7" s="406"/>
      <c r="U7" s="404"/>
      <c r="V7" s="404"/>
      <c r="W7" s="404"/>
      <c r="X7" s="413"/>
      <c r="Y7" s="415"/>
      <c r="AA7" s="186"/>
    </row>
    <row r="8" spans="1:27" s="54" customFormat="1" ht="21" customHeight="1">
      <c r="A8" s="397"/>
      <c r="B8" s="417"/>
      <c r="C8" s="400"/>
      <c r="D8" s="400"/>
      <c r="E8" s="399"/>
      <c r="F8" s="409"/>
      <c r="G8" s="399"/>
      <c r="H8" s="399"/>
      <c r="I8" s="399"/>
      <c r="J8" s="399"/>
      <c r="K8" s="404"/>
      <c r="L8" s="404"/>
      <c r="M8" s="404"/>
      <c r="N8" s="404"/>
      <c r="O8" s="404"/>
      <c r="P8" s="404"/>
      <c r="Q8" s="404"/>
      <c r="R8" s="404"/>
      <c r="S8" s="406"/>
      <c r="T8" s="406"/>
      <c r="U8" s="404"/>
      <c r="V8" s="404"/>
      <c r="W8" s="404"/>
      <c r="X8" s="413"/>
      <c r="Y8" s="415"/>
      <c r="AA8" s="186"/>
    </row>
    <row r="9" spans="1:27" s="54" customFormat="1" ht="21" customHeight="1" thickBot="1">
      <c r="A9" s="398"/>
      <c r="B9" s="418"/>
      <c r="C9" s="401"/>
      <c r="D9" s="401"/>
      <c r="E9" s="402"/>
      <c r="F9" s="410"/>
      <c r="G9" s="402"/>
      <c r="H9" s="402"/>
      <c r="I9" s="402"/>
      <c r="J9" s="402"/>
      <c r="K9" s="405"/>
      <c r="L9" s="405"/>
      <c r="M9" s="405"/>
      <c r="N9" s="405"/>
      <c r="O9" s="405"/>
      <c r="P9" s="405"/>
      <c r="Q9" s="405"/>
      <c r="R9" s="405"/>
      <c r="S9" s="407"/>
      <c r="T9" s="407"/>
      <c r="U9" s="405"/>
      <c r="V9" s="405"/>
      <c r="W9" s="405"/>
      <c r="X9" s="414"/>
      <c r="Y9" s="416"/>
      <c r="AA9" s="186"/>
    </row>
    <row r="10" spans="1:27" s="54" customFormat="1" ht="6.75" customHeight="1" thickTop="1">
      <c r="A10" s="187"/>
      <c r="B10" s="186"/>
      <c r="C10" s="186"/>
      <c r="D10" s="186"/>
      <c r="E10" s="188"/>
      <c r="F10" s="188"/>
      <c r="G10" s="188"/>
      <c r="H10" s="188"/>
      <c r="I10" s="188"/>
      <c r="J10" s="189"/>
      <c r="K10" s="186"/>
      <c r="L10" s="186"/>
      <c r="M10" s="186"/>
      <c r="N10" s="186"/>
      <c r="O10" s="186"/>
      <c r="P10" s="186"/>
      <c r="Q10" s="186"/>
      <c r="R10" s="186"/>
      <c r="S10" s="190"/>
      <c r="T10" s="186"/>
      <c r="U10" s="186"/>
      <c r="V10" s="186"/>
      <c r="W10" s="186"/>
      <c r="X10" s="191"/>
      <c r="Y10" s="186"/>
    </row>
    <row r="11" spans="1:27" s="54" customFormat="1" ht="10.15" customHeight="1">
      <c r="A11" s="187" t="s">
        <v>472</v>
      </c>
      <c r="B11" s="192">
        <f>C11+D11+I11+J11</f>
        <v>938989</v>
      </c>
      <c r="C11" s="192">
        <v>101814</v>
      </c>
      <c r="D11" s="192">
        <v>17919</v>
      </c>
      <c r="E11" s="192">
        <v>468</v>
      </c>
      <c r="F11" s="192">
        <v>0</v>
      </c>
      <c r="G11" s="192">
        <v>11727</v>
      </c>
      <c r="H11" s="192">
        <v>6061</v>
      </c>
      <c r="I11" s="192">
        <f>SUM(E11:H11)</f>
        <v>18256</v>
      </c>
      <c r="J11" s="192">
        <f>SUM(W11,Y11)</f>
        <v>801000</v>
      </c>
      <c r="K11" s="192">
        <v>777589</v>
      </c>
      <c r="L11" s="192">
        <v>0</v>
      </c>
      <c r="M11" s="192">
        <v>0</v>
      </c>
      <c r="N11" s="192">
        <v>0</v>
      </c>
      <c r="O11" s="192">
        <v>0</v>
      </c>
      <c r="P11" s="192">
        <v>172</v>
      </c>
      <c r="Q11" s="192">
        <v>106</v>
      </c>
      <c r="R11" s="192">
        <v>0</v>
      </c>
      <c r="S11" s="192">
        <v>0</v>
      </c>
      <c r="T11" s="192">
        <v>0</v>
      </c>
      <c r="U11" s="192">
        <v>0</v>
      </c>
      <c r="V11" s="192">
        <v>602</v>
      </c>
      <c r="W11" s="192">
        <f t="shared" ref="W11:W22" si="0">SUM(K11:V11)</f>
        <v>778469</v>
      </c>
      <c r="X11" s="191"/>
      <c r="Y11" s="192">
        <v>22531</v>
      </c>
    </row>
    <row r="12" spans="1:27" s="54" customFormat="1" ht="10.15" customHeight="1">
      <c r="A12" s="187" t="s">
        <v>473</v>
      </c>
      <c r="B12" s="192">
        <f t="shared" ref="B12:B22" si="1">C12+D12+I12+J12</f>
        <v>474641</v>
      </c>
      <c r="C12" s="192">
        <v>22876</v>
      </c>
      <c r="D12" s="192">
        <v>8440</v>
      </c>
      <c r="E12" s="192">
        <v>30</v>
      </c>
      <c r="F12" s="192">
        <v>0</v>
      </c>
      <c r="G12" s="192">
        <v>1455</v>
      </c>
      <c r="H12" s="192">
        <v>3223</v>
      </c>
      <c r="I12" s="192">
        <f t="shared" ref="I12:I22" si="2">SUM(E12:H12)</f>
        <v>4708</v>
      </c>
      <c r="J12" s="192">
        <f t="shared" ref="J12:J22" si="3">SUM(W12,Y12)</f>
        <v>438617</v>
      </c>
      <c r="K12" s="192">
        <v>317</v>
      </c>
      <c r="L12" s="192">
        <v>401704</v>
      </c>
      <c r="M12" s="192">
        <v>1854</v>
      </c>
      <c r="N12" s="192">
        <v>0</v>
      </c>
      <c r="O12" s="192">
        <v>0</v>
      </c>
      <c r="P12" s="192">
        <v>320</v>
      </c>
      <c r="Q12" s="192">
        <v>0</v>
      </c>
      <c r="R12" s="192">
        <v>0</v>
      </c>
      <c r="S12" s="192">
        <v>0</v>
      </c>
      <c r="T12" s="192">
        <v>0</v>
      </c>
      <c r="U12" s="192">
        <v>0</v>
      </c>
      <c r="V12" s="192">
        <v>15</v>
      </c>
      <c r="W12" s="192">
        <f t="shared" si="0"/>
        <v>404210</v>
      </c>
      <c r="X12" s="191"/>
      <c r="Y12" s="192">
        <v>34407</v>
      </c>
    </row>
    <row r="13" spans="1:27" s="54" customFormat="1" ht="10.15" customHeight="1">
      <c r="A13" s="187" t="s">
        <v>474</v>
      </c>
      <c r="B13" s="192">
        <f t="shared" si="1"/>
        <v>6468662</v>
      </c>
      <c r="C13" s="192">
        <v>1045722</v>
      </c>
      <c r="D13" s="192">
        <v>71220</v>
      </c>
      <c r="E13" s="192">
        <v>45158</v>
      </c>
      <c r="F13" s="192">
        <v>55894</v>
      </c>
      <c r="G13" s="192">
        <v>379582</v>
      </c>
      <c r="H13" s="192">
        <v>152570</v>
      </c>
      <c r="I13" s="192">
        <f t="shared" si="2"/>
        <v>633204</v>
      </c>
      <c r="J13" s="192">
        <f t="shared" si="3"/>
        <v>4718516</v>
      </c>
      <c r="K13" s="192">
        <v>9930</v>
      </c>
      <c r="L13" s="192">
        <v>6125</v>
      </c>
      <c r="M13" s="192">
        <v>3702844</v>
      </c>
      <c r="N13" s="192">
        <v>0</v>
      </c>
      <c r="O13" s="192">
        <v>54</v>
      </c>
      <c r="P13" s="192">
        <v>91539</v>
      </c>
      <c r="Q13" s="192">
        <v>147</v>
      </c>
      <c r="R13" s="192">
        <v>657</v>
      </c>
      <c r="S13" s="192">
        <v>0</v>
      </c>
      <c r="T13" s="192">
        <v>0</v>
      </c>
      <c r="U13" s="192">
        <v>4150</v>
      </c>
      <c r="V13" s="192">
        <v>2011</v>
      </c>
      <c r="W13" s="192">
        <f t="shared" si="0"/>
        <v>3817457</v>
      </c>
      <c r="X13" s="191"/>
      <c r="Y13" s="192">
        <v>901059</v>
      </c>
    </row>
    <row r="14" spans="1:27" s="54" customFormat="1" ht="10.15" customHeight="1">
      <c r="A14" s="187" t="s">
        <v>509</v>
      </c>
      <c r="B14" s="192">
        <f t="shared" si="1"/>
        <v>532996</v>
      </c>
      <c r="C14" s="192">
        <v>4732</v>
      </c>
      <c r="D14" s="192">
        <v>0</v>
      </c>
      <c r="E14" s="192">
        <v>0</v>
      </c>
      <c r="F14" s="192">
        <v>0</v>
      </c>
      <c r="G14" s="192">
        <v>57829</v>
      </c>
      <c r="H14" s="192">
        <v>13475</v>
      </c>
      <c r="I14" s="192">
        <f t="shared" si="2"/>
        <v>71304</v>
      </c>
      <c r="J14" s="192">
        <f t="shared" si="3"/>
        <v>456960</v>
      </c>
      <c r="K14" s="192">
        <v>0</v>
      </c>
      <c r="L14" s="192">
        <v>0</v>
      </c>
      <c r="M14" s="192">
        <v>0</v>
      </c>
      <c r="N14" s="192">
        <v>441537</v>
      </c>
      <c r="O14" s="192">
        <v>0</v>
      </c>
      <c r="P14" s="192">
        <v>0</v>
      </c>
      <c r="Q14" s="192">
        <v>0</v>
      </c>
      <c r="R14" s="192">
        <v>0</v>
      </c>
      <c r="S14" s="192">
        <v>0</v>
      </c>
      <c r="T14" s="192">
        <v>0</v>
      </c>
      <c r="U14" s="192">
        <v>0</v>
      </c>
      <c r="V14" s="192">
        <v>7972</v>
      </c>
      <c r="W14" s="192">
        <f t="shared" si="0"/>
        <v>449509</v>
      </c>
      <c r="X14" s="191"/>
      <c r="Y14" s="192">
        <v>7451</v>
      </c>
    </row>
    <row r="15" spans="1:27" s="54" customFormat="1" ht="10.15" customHeight="1">
      <c r="A15" s="187" t="s">
        <v>475</v>
      </c>
      <c r="B15" s="192">
        <f t="shared" si="1"/>
        <v>683264</v>
      </c>
      <c r="C15" s="192">
        <v>0</v>
      </c>
      <c r="D15" s="192">
        <v>0</v>
      </c>
      <c r="E15" s="192">
        <v>0</v>
      </c>
      <c r="F15" s="192">
        <v>0</v>
      </c>
      <c r="G15" s="192">
        <v>0</v>
      </c>
      <c r="H15" s="192">
        <v>31512</v>
      </c>
      <c r="I15" s="192">
        <f t="shared" si="2"/>
        <v>31512</v>
      </c>
      <c r="J15" s="192">
        <f t="shared" si="3"/>
        <v>651752</v>
      </c>
      <c r="K15" s="192">
        <v>7719</v>
      </c>
      <c r="L15" s="192">
        <v>33321</v>
      </c>
      <c r="M15" s="192">
        <v>0</v>
      </c>
      <c r="N15" s="192">
        <v>0</v>
      </c>
      <c r="O15" s="192">
        <v>607286</v>
      </c>
      <c r="P15" s="192">
        <v>0</v>
      </c>
      <c r="Q15" s="192">
        <v>0</v>
      </c>
      <c r="R15" s="192">
        <v>0</v>
      </c>
      <c r="S15" s="192">
        <v>0</v>
      </c>
      <c r="T15" s="192">
        <v>0</v>
      </c>
      <c r="U15" s="192">
        <v>0</v>
      </c>
      <c r="V15" s="192">
        <v>1</v>
      </c>
      <c r="W15" s="192">
        <f t="shared" si="0"/>
        <v>648327</v>
      </c>
      <c r="X15" s="191"/>
      <c r="Y15" s="192">
        <v>3425</v>
      </c>
    </row>
    <row r="16" spans="1:27" s="54" customFormat="1" ht="10.15" customHeight="1">
      <c r="A16" s="187" t="s">
        <v>476</v>
      </c>
      <c r="B16" s="192">
        <f t="shared" si="1"/>
        <v>140737</v>
      </c>
      <c r="C16" s="192">
        <v>-1186683</v>
      </c>
      <c r="D16" s="192">
        <v>0</v>
      </c>
      <c r="E16" s="192">
        <v>0</v>
      </c>
      <c r="F16" s="192">
        <v>0</v>
      </c>
      <c r="G16" s="192">
        <v>0</v>
      </c>
      <c r="H16" s="192">
        <v>2617</v>
      </c>
      <c r="I16" s="192">
        <f t="shared" si="2"/>
        <v>2617</v>
      </c>
      <c r="J16" s="192">
        <f t="shared" si="3"/>
        <v>1324803</v>
      </c>
      <c r="K16" s="192">
        <v>0</v>
      </c>
      <c r="L16" s="192">
        <v>32</v>
      </c>
      <c r="M16" s="192">
        <v>24811</v>
      </c>
      <c r="N16" s="192">
        <v>34</v>
      </c>
      <c r="O16" s="192">
        <v>12</v>
      </c>
      <c r="P16" s="192">
        <v>1288917</v>
      </c>
      <c r="Q16" s="192">
        <v>830</v>
      </c>
      <c r="R16" s="192">
        <v>3788</v>
      </c>
      <c r="S16" s="192">
        <v>0</v>
      </c>
      <c r="T16" s="192">
        <v>0</v>
      </c>
      <c r="U16" s="192">
        <v>2678</v>
      </c>
      <c r="V16" s="192">
        <v>330</v>
      </c>
      <c r="W16" s="192">
        <f t="shared" si="0"/>
        <v>1321432</v>
      </c>
      <c r="X16" s="191"/>
      <c r="Y16" s="192">
        <v>3371</v>
      </c>
    </row>
    <row r="17" spans="1:32" s="54" customFormat="1" ht="10.15" customHeight="1">
      <c r="A17" s="187" t="s">
        <v>477</v>
      </c>
      <c r="B17" s="192">
        <f t="shared" si="1"/>
        <v>568288</v>
      </c>
      <c r="C17" s="192">
        <v>0</v>
      </c>
      <c r="D17" s="192">
        <v>-97641</v>
      </c>
      <c r="E17" s="192">
        <v>0</v>
      </c>
      <c r="F17" s="192">
        <v>0</v>
      </c>
      <c r="G17" s="192">
        <v>10588</v>
      </c>
      <c r="H17" s="192">
        <v>19326</v>
      </c>
      <c r="I17" s="192">
        <f t="shared" si="2"/>
        <v>29914</v>
      </c>
      <c r="J17" s="192">
        <f t="shared" si="3"/>
        <v>636015</v>
      </c>
      <c r="K17" s="192">
        <v>0</v>
      </c>
      <c r="L17" s="192">
        <v>0</v>
      </c>
      <c r="M17" s="192">
        <v>0</v>
      </c>
      <c r="N17" s="192">
        <v>458</v>
      </c>
      <c r="O17" s="192">
        <v>0</v>
      </c>
      <c r="P17" s="192">
        <v>3008</v>
      </c>
      <c r="Q17" s="192">
        <v>611351</v>
      </c>
      <c r="R17" s="192">
        <v>0</v>
      </c>
      <c r="S17" s="192">
        <v>0</v>
      </c>
      <c r="T17" s="192">
        <v>0</v>
      </c>
      <c r="U17" s="192">
        <v>95</v>
      </c>
      <c r="V17" s="192">
        <v>4668</v>
      </c>
      <c r="W17" s="192">
        <f t="shared" si="0"/>
        <v>619580</v>
      </c>
      <c r="X17" s="191"/>
      <c r="Y17" s="192">
        <v>16435</v>
      </c>
    </row>
    <row r="18" spans="1:32" s="54" customFormat="1" ht="10.15" customHeight="1">
      <c r="A18" s="187" t="s">
        <v>478</v>
      </c>
      <c r="B18" s="192">
        <f t="shared" si="1"/>
        <v>535541</v>
      </c>
      <c r="C18" s="192">
        <v>11539</v>
      </c>
      <c r="D18" s="192">
        <v>62</v>
      </c>
      <c r="E18" s="192">
        <v>12</v>
      </c>
      <c r="F18" s="192">
        <v>0</v>
      </c>
      <c r="G18" s="192">
        <v>38831</v>
      </c>
      <c r="H18" s="192">
        <v>17569</v>
      </c>
      <c r="I18" s="192">
        <f t="shared" si="2"/>
        <v>56412</v>
      </c>
      <c r="J18" s="192">
        <f t="shared" si="3"/>
        <v>467528</v>
      </c>
      <c r="K18" s="192">
        <v>0</v>
      </c>
      <c r="L18" s="192">
        <v>0</v>
      </c>
      <c r="M18" s="192">
        <v>0</v>
      </c>
      <c r="N18" s="192">
        <v>0</v>
      </c>
      <c r="O18" s="192">
        <v>0</v>
      </c>
      <c r="P18" s="192">
        <v>1047</v>
      </c>
      <c r="Q18" s="192">
        <v>48</v>
      </c>
      <c r="R18" s="192">
        <v>426997</v>
      </c>
      <c r="S18" s="192">
        <v>1248</v>
      </c>
      <c r="T18" s="192">
        <v>0</v>
      </c>
      <c r="U18" s="192">
        <v>137</v>
      </c>
      <c r="V18" s="192">
        <v>2089</v>
      </c>
      <c r="W18" s="192">
        <f t="shared" si="0"/>
        <v>431566</v>
      </c>
      <c r="X18" s="191"/>
      <c r="Y18" s="192">
        <v>35962</v>
      </c>
    </row>
    <row r="19" spans="1:32" s="54" customFormat="1" ht="9.75" customHeight="1">
      <c r="A19" s="193" t="s">
        <v>479</v>
      </c>
      <c r="B19" s="192">
        <f t="shared" si="1"/>
        <v>800076</v>
      </c>
      <c r="C19" s="192">
        <v>0</v>
      </c>
      <c r="D19" s="192">
        <v>0</v>
      </c>
      <c r="E19" s="192">
        <v>0</v>
      </c>
      <c r="F19" s="192">
        <v>0</v>
      </c>
      <c r="G19" s="192">
        <v>0</v>
      </c>
      <c r="H19" s="192">
        <v>67488</v>
      </c>
      <c r="I19" s="192">
        <f t="shared" si="2"/>
        <v>67488</v>
      </c>
      <c r="J19" s="192">
        <f t="shared" si="3"/>
        <v>732588</v>
      </c>
      <c r="K19" s="192">
        <v>0</v>
      </c>
      <c r="L19" s="192">
        <v>0</v>
      </c>
      <c r="M19" s="192">
        <v>0</v>
      </c>
      <c r="N19" s="192">
        <v>0</v>
      </c>
      <c r="O19" s="192">
        <v>0</v>
      </c>
      <c r="P19" s="192">
        <v>0</v>
      </c>
      <c r="Q19" s="192">
        <v>0</v>
      </c>
      <c r="R19" s="192">
        <v>0</v>
      </c>
      <c r="S19" s="192">
        <v>687862</v>
      </c>
      <c r="T19" s="192">
        <v>0</v>
      </c>
      <c r="U19" s="192">
        <v>0</v>
      </c>
      <c r="V19" s="192">
        <v>434</v>
      </c>
      <c r="W19" s="192">
        <f t="shared" si="0"/>
        <v>688296</v>
      </c>
      <c r="X19" s="191"/>
      <c r="Y19" s="192">
        <v>44292</v>
      </c>
    </row>
    <row r="20" spans="1:32" s="54" customFormat="1" ht="10.15" customHeight="1">
      <c r="A20" s="187" t="s">
        <v>480</v>
      </c>
      <c r="B20" s="192">
        <f t="shared" si="1"/>
        <v>793035</v>
      </c>
      <c r="C20" s="192">
        <v>0</v>
      </c>
      <c r="D20" s="192">
        <v>0</v>
      </c>
      <c r="E20" s="192">
        <v>0</v>
      </c>
      <c r="F20" s="192">
        <v>0</v>
      </c>
      <c r="G20" s="192">
        <v>0</v>
      </c>
      <c r="H20" s="192">
        <v>1248</v>
      </c>
      <c r="I20" s="192">
        <f t="shared" si="2"/>
        <v>1248</v>
      </c>
      <c r="J20" s="192">
        <f t="shared" si="3"/>
        <v>791787</v>
      </c>
      <c r="K20" s="192">
        <v>92</v>
      </c>
      <c r="L20" s="192">
        <v>670</v>
      </c>
      <c r="M20" s="192">
        <v>26394</v>
      </c>
      <c r="N20" s="192">
        <v>12370</v>
      </c>
      <c r="O20" s="192">
        <v>3762</v>
      </c>
      <c r="P20" s="192">
        <v>2639</v>
      </c>
      <c r="Q20" s="192">
        <v>5161</v>
      </c>
      <c r="R20" s="192">
        <v>1526</v>
      </c>
      <c r="S20" s="192">
        <v>9080</v>
      </c>
      <c r="T20" s="192">
        <v>711631</v>
      </c>
      <c r="U20" s="192">
        <v>8689</v>
      </c>
      <c r="V20" s="192">
        <v>2641</v>
      </c>
      <c r="W20" s="192">
        <f t="shared" si="0"/>
        <v>784655</v>
      </c>
      <c r="X20" s="191"/>
      <c r="Y20" s="192">
        <v>7132</v>
      </c>
      <c r="AB20" s="192"/>
    </row>
    <row r="21" spans="1:32" s="54" customFormat="1" ht="10.15" customHeight="1">
      <c r="A21" s="187" t="s">
        <v>481</v>
      </c>
      <c r="B21" s="192">
        <f t="shared" si="1"/>
        <v>2125358</v>
      </c>
      <c r="C21" s="192">
        <v>0</v>
      </c>
      <c r="D21" s="192">
        <v>0</v>
      </c>
      <c r="E21" s="192">
        <v>3</v>
      </c>
      <c r="F21" s="192">
        <v>0</v>
      </c>
      <c r="G21" s="192">
        <v>23099</v>
      </c>
      <c r="H21" s="192">
        <v>74895</v>
      </c>
      <c r="I21" s="192">
        <f t="shared" si="2"/>
        <v>97997</v>
      </c>
      <c r="J21" s="192">
        <f t="shared" si="3"/>
        <v>2027361</v>
      </c>
      <c r="K21" s="192">
        <v>114</v>
      </c>
      <c r="L21" s="192">
        <v>179</v>
      </c>
      <c r="M21" s="192">
        <v>13473</v>
      </c>
      <c r="N21" s="192">
        <v>342</v>
      </c>
      <c r="O21" s="192">
        <v>1387</v>
      </c>
      <c r="P21" s="192">
        <v>16909</v>
      </c>
      <c r="Q21" s="192">
        <v>11258</v>
      </c>
      <c r="R21" s="192">
        <v>2680</v>
      </c>
      <c r="S21" s="192">
        <v>2713</v>
      </c>
      <c r="T21" s="192">
        <v>0</v>
      </c>
      <c r="U21" s="192">
        <v>1797276</v>
      </c>
      <c r="V21" s="192">
        <v>51086</v>
      </c>
      <c r="W21" s="192">
        <f t="shared" si="0"/>
        <v>1897417</v>
      </c>
      <c r="X21" s="191"/>
      <c r="Y21" s="192">
        <v>129944</v>
      </c>
    </row>
    <row r="22" spans="1:32" s="54" customFormat="1" ht="10.15" customHeight="1">
      <c r="A22" s="187" t="s">
        <v>482</v>
      </c>
      <c r="B22" s="192">
        <f t="shared" si="1"/>
        <v>1465281</v>
      </c>
      <c r="C22" s="192">
        <v>0</v>
      </c>
      <c r="D22" s="192">
        <v>0</v>
      </c>
      <c r="E22" s="192">
        <v>0</v>
      </c>
      <c r="F22" s="192">
        <v>0</v>
      </c>
      <c r="G22" s="192">
        <v>0</v>
      </c>
      <c r="H22" s="192">
        <v>0</v>
      </c>
      <c r="I22" s="192">
        <f t="shared" si="2"/>
        <v>0</v>
      </c>
      <c r="J22" s="192">
        <f t="shared" si="3"/>
        <v>1465281</v>
      </c>
      <c r="K22" s="192">
        <v>0</v>
      </c>
      <c r="L22" s="192">
        <v>0</v>
      </c>
      <c r="M22" s="192">
        <v>0</v>
      </c>
      <c r="N22" s="192">
        <v>0</v>
      </c>
      <c r="O22" s="192">
        <v>0</v>
      </c>
      <c r="P22" s="192">
        <v>0</v>
      </c>
      <c r="Q22" s="192">
        <v>0</v>
      </c>
      <c r="R22" s="192">
        <v>0</v>
      </c>
      <c r="S22" s="192">
        <v>0</v>
      </c>
      <c r="T22" s="192">
        <v>0</v>
      </c>
      <c r="U22" s="192">
        <v>0</v>
      </c>
      <c r="V22" s="192">
        <v>1465281</v>
      </c>
      <c r="W22" s="192">
        <f t="shared" si="0"/>
        <v>1465281</v>
      </c>
      <c r="X22" s="191"/>
      <c r="Y22" s="192">
        <v>0</v>
      </c>
    </row>
    <row r="23" spans="1:32" s="54" customFormat="1" ht="10.15" customHeight="1">
      <c r="A23" s="187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1"/>
      <c r="Y23" s="192"/>
      <c r="Z23" s="192"/>
    </row>
    <row r="24" spans="1:32" s="54" customFormat="1" ht="10.15" customHeight="1">
      <c r="A24" s="187" t="s">
        <v>510</v>
      </c>
      <c r="B24" s="192">
        <f t="shared" ref="B24:W24" si="4">SUM(B11:B22)</f>
        <v>15526868</v>
      </c>
      <c r="C24" s="192">
        <f t="shared" si="4"/>
        <v>0</v>
      </c>
      <c r="D24" s="192">
        <f t="shared" si="4"/>
        <v>0</v>
      </c>
      <c r="E24" s="192">
        <f t="shared" si="4"/>
        <v>45671</v>
      </c>
      <c r="F24" s="192">
        <f t="shared" si="4"/>
        <v>55894</v>
      </c>
      <c r="G24" s="192">
        <f t="shared" si="4"/>
        <v>523111</v>
      </c>
      <c r="H24" s="192">
        <f t="shared" si="4"/>
        <v>389984</v>
      </c>
      <c r="I24" s="192">
        <f t="shared" si="4"/>
        <v>1014660</v>
      </c>
      <c r="J24" s="192">
        <f t="shared" si="4"/>
        <v>14512208</v>
      </c>
      <c r="K24" s="192">
        <f t="shared" si="4"/>
        <v>795761</v>
      </c>
      <c r="L24" s="192">
        <f t="shared" si="4"/>
        <v>442031</v>
      </c>
      <c r="M24" s="192">
        <f t="shared" si="4"/>
        <v>3769376</v>
      </c>
      <c r="N24" s="192">
        <f t="shared" si="4"/>
        <v>454741</v>
      </c>
      <c r="O24" s="192">
        <f t="shared" si="4"/>
        <v>612501</v>
      </c>
      <c r="P24" s="192">
        <f t="shared" si="4"/>
        <v>1404551</v>
      </c>
      <c r="Q24" s="192">
        <f t="shared" si="4"/>
        <v>628901</v>
      </c>
      <c r="R24" s="192">
        <f t="shared" si="4"/>
        <v>435648</v>
      </c>
      <c r="S24" s="192">
        <f t="shared" si="4"/>
        <v>700903</v>
      </c>
      <c r="T24" s="192">
        <f t="shared" si="4"/>
        <v>711631</v>
      </c>
      <c r="U24" s="192">
        <f t="shared" si="4"/>
        <v>1813025</v>
      </c>
      <c r="V24" s="192">
        <f t="shared" si="4"/>
        <v>1537130</v>
      </c>
      <c r="W24" s="192">
        <f t="shared" si="4"/>
        <v>13306199</v>
      </c>
      <c r="X24" s="191"/>
      <c r="Y24" s="192">
        <f>SUM(Y11:Y23)</f>
        <v>1206009</v>
      </c>
    </row>
    <row r="25" spans="1:32" s="54" customFormat="1" ht="6" customHeight="1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</row>
    <row r="26" spans="1:32" s="54" customFormat="1" ht="15" customHeight="1">
      <c r="A26" s="54" t="s">
        <v>106</v>
      </c>
    </row>
    <row r="27" spans="1:32" s="54" customFormat="1" ht="9" customHeight="1">
      <c r="A27" s="187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</row>
    <row r="28" spans="1:32" s="54" customFormat="1" ht="9" customHeight="1">
      <c r="A28" s="187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</row>
    <row r="29" spans="1:32" s="54" customFormat="1" ht="9" customHeight="1">
      <c r="A29" s="187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</row>
    <row r="30" spans="1:32" ht="19.899999999999999" customHeight="1"/>
    <row r="31" spans="1:32" s="171" customFormat="1" ht="12" customHeight="1">
      <c r="A31" s="170" t="s">
        <v>511</v>
      </c>
    </row>
    <row r="32" spans="1:32" s="54" customFormat="1" ht="10.15" customHeight="1">
      <c r="A32" s="198"/>
      <c r="AE32" s="178"/>
      <c r="AF32" s="178" t="s">
        <v>485</v>
      </c>
    </row>
    <row r="33" spans="1:37" s="54" customFormat="1" ht="19.5" customHeight="1" thickBot="1">
      <c r="A33" s="397" t="s">
        <v>471</v>
      </c>
      <c r="B33" s="399" t="s">
        <v>490</v>
      </c>
      <c r="C33" s="399" t="s">
        <v>491</v>
      </c>
      <c r="D33" s="399" t="s">
        <v>492</v>
      </c>
      <c r="E33" s="399" t="s">
        <v>493</v>
      </c>
      <c r="F33" s="399" t="s">
        <v>494</v>
      </c>
      <c r="G33" s="399" t="s">
        <v>495</v>
      </c>
      <c r="H33" s="399" t="s">
        <v>512</v>
      </c>
      <c r="I33" s="399" t="s">
        <v>513</v>
      </c>
      <c r="J33" s="399" t="s">
        <v>498</v>
      </c>
      <c r="K33" s="199" t="s">
        <v>514</v>
      </c>
      <c r="L33" s="199"/>
      <c r="M33" s="199"/>
      <c r="N33" s="199"/>
      <c r="O33" s="199"/>
      <c r="P33" s="199"/>
      <c r="Q33" s="200"/>
      <c r="R33" s="199"/>
      <c r="S33" s="199"/>
      <c r="T33" s="199"/>
      <c r="U33" s="199"/>
      <c r="V33" s="199"/>
      <c r="W33" s="201"/>
      <c r="X33" s="386" t="s">
        <v>515</v>
      </c>
      <c r="Y33" s="202" t="s">
        <v>516</v>
      </c>
      <c r="Z33" s="203"/>
      <c r="AA33" s="203"/>
      <c r="AB33" s="203"/>
      <c r="AC33" s="203"/>
      <c r="AD33" s="203"/>
      <c r="AE33" s="203"/>
      <c r="AF33" s="389" t="s">
        <v>517</v>
      </c>
    </row>
    <row r="34" spans="1:37" s="54" customFormat="1" ht="21" customHeight="1" thickTop="1">
      <c r="A34" s="397"/>
      <c r="B34" s="395"/>
      <c r="C34" s="400"/>
      <c r="D34" s="400"/>
      <c r="E34" s="399"/>
      <c r="F34" s="399"/>
      <c r="G34" s="399"/>
      <c r="H34" s="399"/>
      <c r="I34" s="399"/>
      <c r="J34" s="400"/>
      <c r="K34" s="392" t="s">
        <v>499</v>
      </c>
      <c r="L34" s="392" t="s">
        <v>473</v>
      </c>
      <c r="M34" s="392" t="s">
        <v>500</v>
      </c>
      <c r="N34" s="392" t="s">
        <v>501</v>
      </c>
      <c r="O34" s="392" t="s">
        <v>502</v>
      </c>
      <c r="P34" s="392" t="s">
        <v>476</v>
      </c>
      <c r="Q34" s="392" t="s">
        <v>503</v>
      </c>
      <c r="R34" s="392" t="s">
        <v>504</v>
      </c>
      <c r="S34" s="392" t="s">
        <v>505</v>
      </c>
      <c r="T34" s="392" t="s">
        <v>506</v>
      </c>
      <c r="U34" s="392" t="s">
        <v>481</v>
      </c>
      <c r="V34" s="392" t="s">
        <v>507</v>
      </c>
      <c r="W34" s="392" t="s">
        <v>508</v>
      </c>
      <c r="X34" s="387"/>
      <c r="Y34" s="371" t="s">
        <v>518</v>
      </c>
      <c r="Z34" s="371" t="s">
        <v>519</v>
      </c>
      <c r="AA34" s="383" t="s">
        <v>520</v>
      </c>
      <c r="AB34" s="371" t="s">
        <v>521</v>
      </c>
      <c r="AC34" s="371" t="s">
        <v>522</v>
      </c>
      <c r="AD34" s="371" t="s">
        <v>523</v>
      </c>
      <c r="AE34" s="371" t="s">
        <v>524</v>
      </c>
      <c r="AF34" s="390"/>
    </row>
    <row r="35" spans="1:37" s="54" customFormat="1" ht="21" customHeight="1">
      <c r="A35" s="397"/>
      <c r="B35" s="395"/>
      <c r="C35" s="400"/>
      <c r="D35" s="400"/>
      <c r="E35" s="399"/>
      <c r="F35" s="399"/>
      <c r="G35" s="399"/>
      <c r="H35" s="399"/>
      <c r="I35" s="399"/>
      <c r="J35" s="400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87"/>
      <c r="Y35" s="395"/>
      <c r="Z35" s="372"/>
      <c r="AA35" s="384"/>
      <c r="AB35" s="372"/>
      <c r="AC35" s="374"/>
      <c r="AD35" s="374"/>
      <c r="AE35" s="374"/>
      <c r="AF35" s="390"/>
    </row>
    <row r="36" spans="1:37" s="54" customFormat="1" ht="21" customHeight="1">
      <c r="A36" s="397"/>
      <c r="B36" s="395"/>
      <c r="C36" s="400"/>
      <c r="D36" s="400"/>
      <c r="E36" s="399"/>
      <c r="F36" s="399"/>
      <c r="G36" s="399"/>
      <c r="H36" s="399"/>
      <c r="I36" s="399"/>
      <c r="J36" s="400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87"/>
      <c r="Y36" s="395"/>
      <c r="Z36" s="372"/>
      <c r="AA36" s="384"/>
      <c r="AB36" s="372"/>
      <c r="AC36" s="374"/>
      <c r="AD36" s="374"/>
      <c r="AE36" s="374"/>
      <c r="AF36" s="390"/>
    </row>
    <row r="37" spans="1:37" s="54" customFormat="1" ht="21" customHeight="1" thickBot="1">
      <c r="A37" s="398"/>
      <c r="B37" s="396"/>
      <c r="C37" s="401"/>
      <c r="D37" s="401"/>
      <c r="E37" s="402"/>
      <c r="F37" s="402"/>
      <c r="G37" s="402"/>
      <c r="H37" s="402"/>
      <c r="I37" s="402"/>
      <c r="J37" s="401"/>
      <c r="K37" s="394"/>
      <c r="L37" s="394"/>
      <c r="M37" s="394"/>
      <c r="N37" s="394"/>
      <c r="O37" s="394"/>
      <c r="P37" s="394"/>
      <c r="Q37" s="394"/>
      <c r="R37" s="394"/>
      <c r="S37" s="394"/>
      <c r="T37" s="394"/>
      <c r="U37" s="394"/>
      <c r="V37" s="394"/>
      <c r="W37" s="394"/>
      <c r="X37" s="388"/>
      <c r="Y37" s="396"/>
      <c r="Z37" s="373"/>
      <c r="AA37" s="385"/>
      <c r="AB37" s="373"/>
      <c r="AC37" s="375"/>
      <c r="AD37" s="375"/>
      <c r="AE37" s="375"/>
      <c r="AF37" s="391"/>
    </row>
    <row r="38" spans="1:37" s="54" customFormat="1" ht="6.75" customHeight="1" thickTop="1">
      <c r="A38" s="187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204"/>
      <c r="Y38" s="190"/>
      <c r="Z38" s="190"/>
      <c r="AA38" s="190"/>
      <c r="AB38" s="190"/>
      <c r="AC38" s="190"/>
      <c r="AD38" s="190"/>
      <c r="AE38" s="190"/>
      <c r="AF38" s="190"/>
    </row>
    <row r="39" spans="1:37" s="54" customFormat="1" ht="10.15" customHeight="1">
      <c r="A39" s="205" t="s">
        <v>472</v>
      </c>
      <c r="B39" s="192">
        <f>B11</f>
        <v>938989</v>
      </c>
      <c r="C39" s="192"/>
      <c r="D39" s="192"/>
      <c r="E39" s="192"/>
      <c r="F39" s="192"/>
      <c r="G39" s="192"/>
      <c r="H39" s="192"/>
      <c r="I39" s="192"/>
      <c r="J39" s="192"/>
      <c r="K39" s="192">
        <v>46529</v>
      </c>
      <c r="L39" s="192">
        <v>2</v>
      </c>
      <c r="M39" s="192">
        <v>385354</v>
      </c>
      <c r="N39" s="192">
        <v>69</v>
      </c>
      <c r="O39" s="192">
        <v>1088</v>
      </c>
      <c r="P39" s="192">
        <v>16888</v>
      </c>
      <c r="Q39" s="192">
        <v>0</v>
      </c>
      <c r="R39" s="192">
        <v>0</v>
      </c>
      <c r="S39" s="192">
        <v>0</v>
      </c>
      <c r="T39" s="192">
        <v>0</v>
      </c>
      <c r="U39" s="192">
        <v>11153</v>
      </c>
      <c r="V39" s="192">
        <v>3683</v>
      </c>
      <c r="W39" s="192">
        <f t="shared" ref="W39:W51" si="5">SUM(K39:V39)</f>
        <v>464766</v>
      </c>
      <c r="X39" s="191"/>
      <c r="Y39" s="192">
        <v>241683</v>
      </c>
      <c r="Z39" s="192">
        <v>230</v>
      </c>
      <c r="AA39" s="192">
        <v>0</v>
      </c>
      <c r="AB39" s="192">
        <f>SUM(AH39:AI39)</f>
        <v>212694</v>
      </c>
      <c r="AC39" s="192">
        <v>22310</v>
      </c>
      <c r="AD39" s="192">
        <v>-2694</v>
      </c>
      <c r="AE39" s="192">
        <f t="shared" ref="AE39:AE51" si="6">SUM(Y39:AD39)</f>
        <v>474223</v>
      </c>
      <c r="AF39" s="192">
        <f t="shared" ref="AF39:AF51" si="7">W39+AE39</f>
        <v>938989</v>
      </c>
      <c r="AH39" s="192">
        <v>0</v>
      </c>
      <c r="AI39" s="192">
        <v>212694</v>
      </c>
      <c r="AK39" s="192">
        <f>AE39-AB39</f>
        <v>261529</v>
      </c>
    </row>
    <row r="40" spans="1:37" s="54" customFormat="1" ht="10.15" customHeight="1">
      <c r="A40" s="205" t="s">
        <v>473</v>
      </c>
      <c r="B40" s="192">
        <f t="shared" ref="B40:B50" si="8">B12</f>
        <v>474641</v>
      </c>
      <c r="C40" s="192"/>
      <c r="D40" s="192"/>
      <c r="E40" s="192"/>
      <c r="F40" s="192"/>
      <c r="G40" s="192"/>
      <c r="H40" s="192"/>
      <c r="I40" s="192"/>
      <c r="J40" s="192"/>
      <c r="K40" s="192">
        <v>874</v>
      </c>
      <c r="L40" s="192">
        <v>16121</v>
      </c>
      <c r="M40" s="192">
        <v>198222</v>
      </c>
      <c r="N40" s="192">
        <v>12854</v>
      </c>
      <c r="O40" s="192">
        <v>9589</v>
      </c>
      <c r="P40" s="192">
        <v>121</v>
      </c>
      <c r="Q40" s="192">
        <v>6</v>
      </c>
      <c r="R40" s="192">
        <v>0</v>
      </c>
      <c r="S40" s="192">
        <v>0</v>
      </c>
      <c r="T40" s="192">
        <v>551</v>
      </c>
      <c r="U40" s="192">
        <v>86</v>
      </c>
      <c r="V40" s="192">
        <v>149</v>
      </c>
      <c r="W40" s="192">
        <f t="shared" si="5"/>
        <v>238573</v>
      </c>
      <c r="X40" s="191"/>
      <c r="Y40" s="192">
        <v>253114</v>
      </c>
      <c r="Z40" s="192">
        <v>0</v>
      </c>
      <c r="AA40" s="192">
        <v>0</v>
      </c>
      <c r="AB40" s="192">
        <f t="shared" ref="AB40:AB51" si="9">SUM(AH40:AI40)</f>
        <v>0</v>
      </c>
      <c r="AC40" s="192">
        <v>10455</v>
      </c>
      <c r="AD40" s="192">
        <v>-27501</v>
      </c>
      <c r="AE40" s="192">
        <f t="shared" si="6"/>
        <v>236068</v>
      </c>
      <c r="AF40" s="192">
        <f t="shared" si="7"/>
        <v>474641</v>
      </c>
      <c r="AH40" s="192">
        <v>0</v>
      </c>
      <c r="AI40" s="192">
        <v>0</v>
      </c>
      <c r="AK40" s="192">
        <f t="shared" ref="AK40:AK51" si="10">AE40-AB40</f>
        <v>236068</v>
      </c>
    </row>
    <row r="41" spans="1:37" s="54" customFormat="1" ht="10.15" customHeight="1">
      <c r="A41" s="205" t="s">
        <v>474</v>
      </c>
      <c r="B41" s="192">
        <f t="shared" si="8"/>
        <v>6468662</v>
      </c>
      <c r="C41" s="192"/>
      <c r="D41" s="192"/>
      <c r="E41" s="192"/>
      <c r="F41" s="192"/>
      <c r="G41" s="192"/>
      <c r="H41" s="192"/>
      <c r="I41" s="192"/>
      <c r="J41" s="192"/>
      <c r="K41" s="192">
        <v>264935</v>
      </c>
      <c r="L41" s="192">
        <v>117877</v>
      </c>
      <c r="M41" s="192">
        <v>1817709</v>
      </c>
      <c r="N41" s="192">
        <v>39415</v>
      </c>
      <c r="O41" s="192">
        <v>232483</v>
      </c>
      <c r="P41" s="192">
        <v>143692</v>
      </c>
      <c r="Q41" s="192">
        <v>168628</v>
      </c>
      <c r="R41" s="192">
        <v>24714</v>
      </c>
      <c r="S41" s="192">
        <v>9572</v>
      </c>
      <c r="T41" s="192">
        <v>11292</v>
      </c>
      <c r="U41" s="192">
        <v>261506</v>
      </c>
      <c r="V41" s="192">
        <v>85762</v>
      </c>
      <c r="W41" s="192">
        <f t="shared" si="5"/>
        <v>3177585</v>
      </c>
      <c r="X41" s="191"/>
      <c r="Y41" s="192">
        <v>611468</v>
      </c>
      <c r="Z41" s="192">
        <v>9716</v>
      </c>
      <c r="AA41" s="192">
        <v>0</v>
      </c>
      <c r="AB41" s="192">
        <f t="shared" si="9"/>
        <v>2148705</v>
      </c>
      <c r="AC41" s="192">
        <v>523356</v>
      </c>
      <c r="AD41" s="192">
        <v>-2168</v>
      </c>
      <c r="AE41" s="192">
        <f t="shared" si="6"/>
        <v>3291077</v>
      </c>
      <c r="AF41" s="192">
        <f t="shared" si="7"/>
        <v>6468662</v>
      </c>
      <c r="AH41" s="192">
        <v>0</v>
      </c>
      <c r="AI41" s="192">
        <v>2148705</v>
      </c>
      <c r="AK41" s="192">
        <f t="shared" si="10"/>
        <v>1142372</v>
      </c>
    </row>
    <row r="42" spans="1:37" s="54" customFormat="1" ht="10.15" customHeight="1">
      <c r="A42" s="205" t="s">
        <v>509</v>
      </c>
      <c r="B42" s="192">
        <f t="shared" si="8"/>
        <v>532996</v>
      </c>
      <c r="C42" s="192"/>
      <c r="D42" s="192"/>
      <c r="E42" s="192"/>
      <c r="F42" s="192"/>
      <c r="G42" s="192"/>
      <c r="H42" s="192"/>
      <c r="I42" s="192"/>
      <c r="J42" s="192"/>
      <c r="K42" s="192">
        <v>19060</v>
      </c>
      <c r="L42" s="192">
        <v>4165</v>
      </c>
      <c r="M42" s="192">
        <v>57562</v>
      </c>
      <c r="N42" s="192">
        <v>142663</v>
      </c>
      <c r="O42" s="192">
        <v>1100</v>
      </c>
      <c r="P42" s="192">
        <v>35518</v>
      </c>
      <c r="Q42" s="192">
        <v>5222</v>
      </c>
      <c r="R42" s="192">
        <v>4434</v>
      </c>
      <c r="S42" s="192">
        <v>3647</v>
      </c>
      <c r="T42" s="192">
        <v>1676</v>
      </c>
      <c r="U42" s="192">
        <v>44360</v>
      </c>
      <c r="V42" s="192">
        <v>27071</v>
      </c>
      <c r="W42" s="192">
        <f t="shared" si="5"/>
        <v>346478</v>
      </c>
      <c r="X42" s="191"/>
      <c r="Y42" s="192">
        <v>2</v>
      </c>
      <c r="Z42" s="192">
        <v>0</v>
      </c>
      <c r="AA42" s="192">
        <v>0</v>
      </c>
      <c r="AB42" s="192">
        <f>SUM(AH42:AI42)</f>
        <v>186576</v>
      </c>
      <c r="AC42" s="192">
        <v>0</v>
      </c>
      <c r="AD42" s="192">
        <v>-60</v>
      </c>
      <c r="AE42" s="192">
        <f t="shared" si="6"/>
        <v>186518</v>
      </c>
      <c r="AF42" s="192">
        <f t="shared" si="7"/>
        <v>532996</v>
      </c>
      <c r="AH42" s="192">
        <v>0</v>
      </c>
      <c r="AI42" s="192">
        <v>186576</v>
      </c>
      <c r="AK42" s="192">
        <f t="shared" si="10"/>
        <v>-58</v>
      </c>
    </row>
    <row r="43" spans="1:37" s="54" customFormat="1" ht="10.15" customHeight="1">
      <c r="A43" s="205" t="s">
        <v>475</v>
      </c>
      <c r="B43" s="192">
        <f t="shared" si="8"/>
        <v>683264</v>
      </c>
      <c r="C43" s="192"/>
      <c r="D43" s="192"/>
      <c r="E43" s="192"/>
      <c r="F43" s="192"/>
      <c r="G43" s="192"/>
      <c r="H43" s="192"/>
      <c r="I43" s="192"/>
      <c r="J43" s="192"/>
      <c r="K43" s="192">
        <v>346</v>
      </c>
      <c r="L43" s="192">
        <v>7040</v>
      </c>
      <c r="M43" s="192">
        <v>3483</v>
      </c>
      <c r="N43" s="192">
        <v>6090</v>
      </c>
      <c r="O43" s="192">
        <v>64476</v>
      </c>
      <c r="P43" s="192">
        <v>1281</v>
      </c>
      <c r="Q43" s="192">
        <v>2108</v>
      </c>
      <c r="R43" s="192">
        <v>5076</v>
      </c>
      <c r="S43" s="192">
        <v>1156</v>
      </c>
      <c r="T43" s="192">
        <v>2074</v>
      </c>
      <c r="U43" s="192">
        <v>5894</v>
      </c>
      <c r="V43" s="192">
        <v>24150</v>
      </c>
      <c r="W43" s="192">
        <f t="shared" si="5"/>
        <v>123174</v>
      </c>
      <c r="X43" s="191"/>
      <c r="Y43" s="192">
        <v>3481</v>
      </c>
      <c r="Z43" s="192">
        <v>0</v>
      </c>
      <c r="AA43" s="192">
        <v>0</v>
      </c>
      <c r="AB43" s="192">
        <f t="shared" si="9"/>
        <v>0</v>
      </c>
      <c r="AC43" s="192">
        <v>556609</v>
      </c>
      <c r="AD43" s="192">
        <v>0</v>
      </c>
      <c r="AE43" s="192">
        <f t="shared" si="6"/>
        <v>560090</v>
      </c>
      <c r="AF43" s="192">
        <f t="shared" si="7"/>
        <v>683264</v>
      </c>
      <c r="AH43" s="192">
        <v>0</v>
      </c>
      <c r="AI43" s="192">
        <v>0</v>
      </c>
      <c r="AK43" s="192">
        <f t="shared" si="10"/>
        <v>560090</v>
      </c>
    </row>
    <row r="44" spans="1:37" s="54" customFormat="1" ht="10.15" customHeight="1">
      <c r="A44" s="205" t="s">
        <v>476</v>
      </c>
      <c r="B44" s="192">
        <f t="shared" si="8"/>
        <v>140737</v>
      </c>
      <c r="C44" s="192"/>
      <c r="D44" s="192"/>
      <c r="E44" s="192"/>
      <c r="F44" s="192"/>
      <c r="G44" s="192"/>
      <c r="H44" s="192"/>
      <c r="I44" s="192"/>
      <c r="J44" s="192"/>
      <c r="K44" s="192">
        <v>353</v>
      </c>
      <c r="L44" s="192">
        <v>2486</v>
      </c>
      <c r="M44" s="192">
        <v>43753</v>
      </c>
      <c r="N44" s="192">
        <v>1300</v>
      </c>
      <c r="O44" s="192">
        <v>493</v>
      </c>
      <c r="P44" s="192">
        <v>12404</v>
      </c>
      <c r="Q44" s="192">
        <v>8467</v>
      </c>
      <c r="R44" s="192">
        <v>3711</v>
      </c>
      <c r="S44" s="192">
        <v>146</v>
      </c>
      <c r="T44" s="192">
        <v>25</v>
      </c>
      <c r="U44" s="192">
        <v>3481</v>
      </c>
      <c r="V44" s="192">
        <v>3530</v>
      </c>
      <c r="W44" s="192">
        <f t="shared" si="5"/>
        <v>80149</v>
      </c>
      <c r="X44" s="191"/>
      <c r="Y44" s="192">
        <v>4676</v>
      </c>
      <c r="Z44" s="192">
        <v>0</v>
      </c>
      <c r="AA44" s="192">
        <v>0</v>
      </c>
      <c r="AB44" s="192">
        <f t="shared" si="9"/>
        <v>55912</v>
      </c>
      <c r="AC44" s="192">
        <v>0</v>
      </c>
      <c r="AD44" s="192">
        <v>0</v>
      </c>
      <c r="AE44" s="192">
        <f t="shared" si="6"/>
        <v>60588</v>
      </c>
      <c r="AF44" s="192">
        <f t="shared" si="7"/>
        <v>140737</v>
      </c>
      <c r="AH44" s="192">
        <v>0</v>
      </c>
      <c r="AI44" s="192">
        <v>55912</v>
      </c>
      <c r="AK44" s="192">
        <f t="shared" si="10"/>
        <v>4676</v>
      </c>
    </row>
    <row r="45" spans="1:37" s="54" customFormat="1" ht="10.15" customHeight="1">
      <c r="A45" s="205" t="s">
        <v>477</v>
      </c>
      <c r="B45" s="192">
        <f t="shared" si="8"/>
        <v>568288</v>
      </c>
      <c r="C45" s="192"/>
      <c r="D45" s="192"/>
      <c r="E45" s="192"/>
      <c r="F45" s="192"/>
      <c r="G45" s="192"/>
      <c r="H45" s="192"/>
      <c r="I45" s="192"/>
      <c r="J45" s="192"/>
      <c r="K45" s="192">
        <v>12900</v>
      </c>
      <c r="L45" s="192">
        <v>36580</v>
      </c>
      <c r="M45" s="192">
        <v>150873</v>
      </c>
      <c r="N45" s="192">
        <v>5229</v>
      </c>
      <c r="O45" s="192">
        <v>3050</v>
      </c>
      <c r="P45" s="192">
        <v>81866</v>
      </c>
      <c r="Q45" s="192">
        <v>90333</v>
      </c>
      <c r="R45" s="192">
        <v>2762</v>
      </c>
      <c r="S45" s="192">
        <v>5947</v>
      </c>
      <c r="T45" s="192">
        <v>329</v>
      </c>
      <c r="U45" s="192">
        <v>22063</v>
      </c>
      <c r="V45" s="192">
        <v>12154</v>
      </c>
      <c r="W45" s="192">
        <f t="shared" si="5"/>
        <v>424086</v>
      </c>
      <c r="X45" s="191"/>
      <c r="Y45" s="192">
        <v>34419</v>
      </c>
      <c r="Z45" s="192">
        <v>0</v>
      </c>
      <c r="AA45" s="192">
        <v>0</v>
      </c>
      <c r="AB45" s="192">
        <f t="shared" si="9"/>
        <v>109783</v>
      </c>
      <c r="AC45" s="192">
        <v>0</v>
      </c>
      <c r="AD45" s="192">
        <v>0</v>
      </c>
      <c r="AE45" s="192">
        <f t="shared" si="6"/>
        <v>144202</v>
      </c>
      <c r="AF45" s="192">
        <f t="shared" si="7"/>
        <v>568288</v>
      </c>
      <c r="AH45" s="192">
        <v>0</v>
      </c>
      <c r="AI45" s="192">
        <v>109783</v>
      </c>
      <c r="AK45" s="192">
        <f t="shared" si="10"/>
        <v>34419</v>
      </c>
    </row>
    <row r="46" spans="1:37" s="54" customFormat="1" ht="10.15" customHeight="1">
      <c r="A46" s="205" t="s">
        <v>478</v>
      </c>
      <c r="B46" s="192">
        <f t="shared" si="8"/>
        <v>535541</v>
      </c>
      <c r="C46" s="192"/>
      <c r="D46" s="192"/>
      <c r="E46" s="192"/>
      <c r="F46" s="192"/>
      <c r="G46" s="192"/>
      <c r="H46" s="192"/>
      <c r="I46" s="192"/>
      <c r="J46" s="192"/>
      <c r="K46" s="192">
        <v>63</v>
      </c>
      <c r="L46" s="192">
        <v>1830</v>
      </c>
      <c r="M46" s="192">
        <v>22246</v>
      </c>
      <c r="N46" s="192">
        <v>3243</v>
      </c>
      <c r="O46" s="192">
        <v>1755</v>
      </c>
      <c r="P46" s="192">
        <v>25118</v>
      </c>
      <c r="Q46" s="192">
        <v>6656</v>
      </c>
      <c r="R46" s="192">
        <v>56654</v>
      </c>
      <c r="S46" s="192">
        <v>34169</v>
      </c>
      <c r="T46" s="192">
        <v>1273</v>
      </c>
      <c r="U46" s="192">
        <v>77971</v>
      </c>
      <c r="V46" s="192">
        <v>37213</v>
      </c>
      <c r="W46" s="192">
        <f t="shared" si="5"/>
        <v>268191</v>
      </c>
      <c r="X46" s="191"/>
      <c r="Y46" s="192">
        <v>15282</v>
      </c>
      <c r="Z46" s="192">
        <v>0</v>
      </c>
      <c r="AA46" s="192">
        <v>0</v>
      </c>
      <c r="AB46" s="192">
        <f t="shared" si="9"/>
        <v>152610</v>
      </c>
      <c r="AC46" s="192">
        <v>100913</v>
      </c>
      <c r="AD46" s="192">
        <v>-1455</v>
      </c>
      <c r="AE46" s="192">
        <f t="shared" si="6"/>
        <v>267350</v>
      </c>
      <c r="AF46" s="192">
        <f t="shared" si="7"/>
        <v>535541</v>
      </c>
      <c r="AH46" s="192">
        <v>0</v>
      </c>
      <c r="AI46" s="192">
        <v>152610</v>
      </c>
      <c r="AK46" s="192">
        <f t="shared" si="10"/>
        <v>114740</v>
      </c>
    </row>
    <row r="47" spans="1:37" s="54" customFormat="1" ht="9.75" customHeight="1">
      <c r="A47" s="206" t="s">
        <v>479</v>
      </c>
      <c r="B47" s="192">
        <f t="shared" si="8"/>
        <v>800076</v>
      </c>
      <c r="C47" s="192"/>
      <c r="D47" s="192"/>
      <c r="E47" s="192"/>
      <c r="F47" s="192"/>
      <c r="G47" s="192"/>
      <c r="H47" s="192"/>
      <c r="I47" s="192"/>
      <c r="J47" s="192"/>
      <c r="K47" s="192">
        <v>12145</v>
      </c>
      <c r="L47" s="192">
        <v>8823</v>
      </c>
      <c r="M47" s="192">
        <v>68105</v>
      </c>
      <c r="N47" s="192">
        <v>11655</v>
      </c>
      <c r="O47" s="192">
        <v>9620</v>
      </c>
      <c r="P47" s="192">
        <v>37998</v>
      </c>
      <c r="Q47" s="192">
        <v>16729</v>
      </c>
      <c r="R47" s="192">
        <v>14335</v>
      </c>
      <c r="S47" s="192">
        <v>111389</v>
      </c>
      <c r="T47" s="192">
        <v>28083</v>
      </c>
      <c r="U47" s="192">
        <v>31616</v>
      </c>
      <c r="V47" s="192">
        <v>60811</v>
      </c>
      <c r="W47" s="192">
        <f t="shared" si="5"/>
        <v>411309</v>
      </c>
      <c r="X47" s="191"/>
      <c r="Y47" s="192">
        <v>6943</v>
      </c>
      <c r="Z47" s="192">
        <v>2165</v>
      </c>
      <c r="AA47" s="192">
        <v>0</v>
      </c>
      <c r="AB47" s="192">
        <f t="shared" si="9"/>
        <v>379659</v>
      </c>
      <c r="AC47" s="192">
        <v>0</v>
      </c>
      <c r="AD47" s="192">
        <v>0</v>
      </c>
      <c r="AE47" s="192">
        <f t="shared" si="6"/>
        <v>388767</v>
      </c>
      <c r="AF47" s="192">
        <f t="shared" si="7"/>
        <v>800076</v>
      </c>
      <c r="AH47" s="192">
        <v>0</v>
      </c>
      <c r="AI47" s="192">
        <v>379659</v>
      </c>
      <c r="AK47" s="192">
        <f t="shared" si="10"/>
        <v>9108</v>
      </c>
    </row>
    <row r="48" spans="1:37" s="54" customFormat="1" ht="10.15" customHeight="1">
      <c r="A48" s="205" t="s">
        <v>480</v>
      </c>
      <c r="B48" s="192">
        <f t="shared" si="8"/>
        <v>793035</v>
      </c>
      <c r="C48" s="192"/>
      <c r="D48" s="192"/>
      <c r="E48" s="192"/>
      <c r="F48" s="192"/>
      <c r="G48" s="192"/>
      <c r="H48" s="192"/>
      <c r="I48" s="192"/>
      <c r="J48" s="192"/>
      <c r="K48" s="192">
        <v>27</v>
      </c>
      <c r="L48" s="192">
        <v>745</v>
      </c>
      <c r="M48" s="192">
        <v>8979</v>
      </c>
      <c r="N48" s="192">
        <v>1618</v>
      </c>
      <c r="O48" s="192">
        <v>1498</v>
      </c>
      <c r="P48" s="192">
        <v>59453</v>
      </c>
      <c r="Q48" s="192">
        <v>6412</v>
      </c>
      <c r="R48" s="192">
        <v>6456</v>
      </c>
      <c r="S48" s="192">
        <v>6844</v>
      </c>
      <c r="T48" s="192">
        <v>2942</v>
      </c>
      <c r="U48" s="192">
        <v>45392</v>
      </c>
      <c r="V48" s="192">
        <v>4778</v>
      </c>
      <c r="W48" s="192">
        <f t="shared" si="5"/>
        <v>145144</v>
      </c>
      <c r="X48" s="191"/>
      <c r="Y48" s="192">
        <v>4688</v>
      </c>
      <c r="Z48" s="192">
        <v>0</v>
      </c>
      <c r="AA48" s="192">
        <v>0</v>
      </c>
      <c r="AB48" s="192">
        <f t="shared" si="9"/>
        <v>643203</v>
      </c>
      <c r="AC48" s="192">
        <v>0</v>
      </c>
      <c r="AD48" s="192">
        <v>0</v>
      </c>
      <c r="AE48" s="192">
        <f t="shared" si="6"/>
        <v>647891</v>
      </c>
      <c r="AF48" s="192">
        <f t="shared" si="7"/>
        <v>793035</v>
      </c>
      <c r="AH48" s="192">
        <v>0</v>
      </c>
      <c r="AI48" s="192">
        <v>643203</v>
      </c>
      <c r="AK48" s="192">
        <f t="shared" si="10"/>
        <v>4688</v>
      </c>
    </row>
    <row r="49" spans="1:37" s="54" customFormat="1" ht="10.15" customHeight="1">
      <c r="A49" s="205" t="s">
        <v>481</v>
      </c>
      <c r="B49" s="192">
        <f t="shared" si="8"/>
        <v>2125358</v>
      </c>
      <c r="C49" s="192"/>
      <c r="D49" s="192"/>
      <c r="E49" s="192"/>
      <c r="F49" s="192"/>
      <c r="G49" s="192"/>
      <c r="H49" s="192"/>
      <c r="I49" s="192"/>
      <c r="J49" s="192"/>
      <c r="K49" s="192">
        <v>3908</v>
      </c>
      <c r="L49" s="192">
        <v>52747</v>
      </c>
      <c r="M49" s="192">
        <v>199401</v>
      </c>
      <c r="N49" s="192">
        <v>21493</v>
      </c>
      <c r="O49" s="192">
        <v>19428</v>
      </c>
      <c r="P49" s="192">
        <v>164866</v>
      </c>
      <c r="Q49" s="192">
        <v>51101</v>
      </c>
      <c r="R49" s="192">
        <v>79932</v>
      </c>
      <c r="S49" s="192">
        <v>73483</v>
      </c>
      <c r="T49" s="192">
        <v>7373</v>
      </c>
      <c r="U49" s="192">
        <v>227146</v>
      </c>
      <c r="V49" s="192">
        <v>130929</v>
      </c>
      <c r="W49" s="192">
        <f t="shared" si="5"/>
        <v>1031807</v>
      </c>
      <c r="X49" s="191"/>
      <c r="Y49" s="192">
        <v>76293</v>
      </c>
      <c r="Z49" s="192">
        <v>54812</v>
      </c>
      <c r="AA49" s="192">
        <v>0</v>
      </c>
      <c r="AB49" s="192">
        <f t="shared" si="9"/>
        <v>915862</v>
      </c>
      <c r="AC49" s="192">
        <v>46584</v>
      </c>
      <c r="AD49" s="192">
        <v>0</v>
      </c>
      <c r="AE49" s="192">
        <f t="shared" si="6"/>
        <v>1093551</v>
      </c>
      <c r="AF49" s="192">
        <f t="shared" si="7"/>
        <v>2125358</v>
      </c>
      <c r="AH49" s="192">
        <v>104919</v>
      </c>
      <c r="AI49" s="192">
        <v>810943</v>
      </c>
      <c r="AK49" s="192">
        <f t="shared" si="10"/>
        <v>177689</v>
      </c>
    </row>
    <row r="50" spans="1:37" s="54" customFormat="1" ht="10.15" customHeight="1">
      <c r="A50" s="205" t="s">
        <v>482</v>
      </c>
      <c r="B50" s="192">
        <f t="shared" si="8"/>
        <v>1465281</v>
      </c>
      <c r="C50" s="192"/>
      <c r="D50" s="192"/>
      <c r="E50" s="192"/>
      <c r="F50" s="192"/>
      <c r="G50" s="192"/>
      <c r="H50" s="192"/>
      <c r="I50" s="192"/>
      <c r="J50" s="192"/>
      <c r="K50" s="192">
        <v>0</v>
      </c>
      <c r="L50" s="192">
        <v>0</v>
      </c>
      <c r="M50" s="192">
        <v>0</v>
      </c>
      <c r="N50" s="192">
        <v>0</v>
      </c>
      <c r="O50" s="192">
        <v>0</v>
      </c>
      <c r="P50" s="192">
        <v>0</v>
      </c>
      <c r="Q50" s="192">
        <v>0</v>
      </c>
      <c r="R50" s="192">
        <v>0</v>
      </c>
      <c r="S50" s="192">
        <v>0</v>
      </c>
      <c r="T50" s="192">
        <v>0</v>
      </c>
      <c r="U50" s="192">
        <v>0</v>
      </c>
      <c r="V50" s="192">
        <v>0</v>
      </c>
      <c r="W50" s="192">
        <f t="shared" si="5"/>
        <v>0</v>
      </c>
      <c r="X50" s="191"/>
      <c r="Y50" s="192">
        <v>0</v>
      </c>
      <c r="Z50" s="192">
        <v>1465281</v>
      </c>
      <c r="AA50" s="192">
        <v>0</v>
      </c>
      <c r="AB50" s="192">
        <f t="shared" si="9"/>
        <v>0</v>
      </c>
      <c r="AC50" s="192">
        <v>0</v>
      </c>
      <c r="AD50" s="192">
        <v>0</v>
      </c>
      <c r="AE50" s="192">
        <f t="shared" si="6"/>
        <v>1465281</v>
      </c>
      <c r="AF50" s="192">
        <f t="shared" si="7"/>
        <v>1465281</v>
      </c>
      <c r="AH50" s="192">
        <v>0</v>
      </c>
      <c r="AI50" s="192">
        <v>0</v>
      </c>
      <c r="AK50" s="192">
        <f t="shared" si="10"/>
        <v>1465281</v>
      </c>
    </row>
    <row r="51" spans="1:37" s="54" customFormat="1" ht="10.15" customHeight="1">
      <c r="A51" s="187" t="s">
        <v>510</v>
      </c>
      <c r="B51" s="192">
        <f>SUM(B39:B50)</f>
        <v>15526868</v>
      </c>
      <c r="C51" s="192"/>
      <c r="D51" s="192"/>
      <c r="E51" s="192"/>
      <c r="F51" s="192"/>
      <c r="G51" s="192"/>
      <c r="H51" s="192"/>
      <c r="I51" s="192"/>
      <c r="J51" s="192"/>
      <c r="K51" s="192">
        <f t="shared" ref="K51:V51" si="11">SUM(K39:K50)</f>
        <v>361140</v>
      </c>
      <c r="L51" s="192">
        <f t="shared" si="11"/>
        <v>248416</v>
      </c>
      <c r="M51" s="192">
        <f t="shared" si="11"/>
        <v>2955687</v>
      </c>
      <c r="N51" s="192">
        <f t="shared" si="11"/>
        <v>245629</v>
      </c>
      <c r="O51" s="192">
        <f t="shared" si="11"/>
        <v>344580</v>
      </c>
      <c r="P51" s="192">
        <f t="shared" si="11"/>
        <v>579205</v>
      </c>
      <c r="Q51" s="192">
        <f t="shared" si="11"/>
        <v>355662</v>
      </c>
      <c r="R51" s="192">
        <f t="shared" si="11"/>
        <v>198074</v>
      </c>
      <c r="S51" s="192">
        <f t="shared" si="11"/>
        <v>246353</v>
      </c>
      <c r="T51" s="192">
        <f t="shared" si="11"/>
        <v>55618</v>
      </c>
      <c r="U51" s="192">
        <f t="shared" si="11"/>
        <v>730668</v>
      </c>
      <c r="V51" s="192">
        <f t="shared" si="11"/>
        <v>390230</v>
      </c>
      <c r="W51" s="192">
        <f t="shared" si="5"/>
        <v>6711262</v>
      </c>
      <c r="X51" s="191"/>
      <c r="Y51" s="207">
        <f t="shared" ref="Y51:AD51" si="12">SUM(Y39:Y50)</f>
        <v>1252049</v>
      </c>
      <c r="Z51" s="207">
        <f t="shared" si="12"/>
        <v>1532204</v>
      </c>
      <c r="AA51" s="207">
        <f t="shared" si="12"/>
        <v>0</v>
      </c>
      <c r="AB51" s="192">
        <f t="shared" si="9"/>
        <v>4805004</v>
      </c>
      <c r="AC51" s="207">
        <f t="shared" si="12"/>
        <v>1260227</v>
      </c>
      <c r="AD51" s="207">
        <f t="shared" si="12"/>
        <v>-33878</v>
      </c>
      <c r="AE51" s="207">
        <f t="shared" si="6"/>
        <v>8815606</v>
      </c>
      <c r="AF51" s="207">
        <f t="shared" si="7"/>
        <v>15526868</v>
      </c>
      <c r="AH51" s="207">
        <f>SUM(AH39:AH50)</f>
        <v>104919</v>
      </c>
      <c r="AI51" s="207">
        <f>SUM(AI39:AI50)</f>
        <v>4700085</v>
      </c>
      <c r="AK51" s="192">
        <f t="shared" si="10"/>
        <v>4010602</v>
      </c>
    </row>
    <row r="52" spans="1:37" s="54" customFormat="1" ht="10.15" customHeight="1">
      <c r="A52" s="208" t="s">
        <v>525</v>
      </c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9"/>
      <c r="Z52" s="192"/>
      <c r="AA52" s="192"/>
      <c r="AB52" s="192"/>
      <c r="AC52" s="192"/>
      <c r="AD52" s="192"/>
    </row>
    <row r="53" spans="1:37" s="54" customFormat="1" ht="6.75" customHeight="1" thickBot="1">
      <c r="A53" s="187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210"/>
      <c r="AA53" s="190"/>
      <c r="AB53" s="190"/>
      <c r="AC53" s="190"/>
      <c r="AD53" s="190"/>
      <c r="AE53" s="190"/>
      <c r="AF53" s="190"/>
    </row>
    <row r="54" spans="1:37" s="54" customFormat="1" ht="10.15" customHeight="1" thickTop="1">
      <c r="A54" s="187" t="s">
        <v>460</v>
      </c>
      <c r="B54" s="192"/>
      <c r="C54" s="192"/>
      <c r="D54" s="192"/>
      <c r="E54" s="192"/>
      <c r="F54" s="192"/>
      <c r="G54" s="192"/>
      <c r="H54" s="192"/>
      <c r="I54" s="192">
        <f>I24</f>
        <v>1014660</v>
      </c>
      <c r="J54" s="192"/>
      <c r="K54" s="192">
        <f>K24-K51</f>
        <v>434621</v>
      </c>
      <c r="L54" s="192">
        <f t="shared" ref="L54:V54" si="13">L24-L51</f>
        <v>193615</v>
      </c>
      <c r="M54" s="192">
        <f t="shared" si="13"/>
        <v>813689</v>
      </c>
      <c r="N54" s="192">
        <f t="shared" si="13"/>
        <v>209112</v>
      </c>
      <c r="O54" s="192">
        <f t="shared" si="13"/>
        <v>267921</v>
      </c>
      <c r="P54" s="192">
        <f t="shared" si="13"/>
        <v>825346</v>
      </c>
      <c r="Q54" s="192">
        <f t="shared" si="13"/>
        <v>273239</v>
      </c>
      <c r="R54" s="192">
        <f t="shared" si="13"/>
        <v>237574</v>
      </c>
      <c r="S54" s="192">
        <f t="shared" si="13"/>
        <v>454550</v>
      </c>
      <c r="T54" s="192">
        <f t="shared" si="13"/>
        <v>656013</v>
      </c>
      <c r="U54" s="192">
        <f t="shared" si="13"/>
        <v>1082357</v>
      </c>
      <c r="V54" s="192">
        <f t="shared" si="13"/>
        <v>1146900</v>
      </c>
      <c r="W54" s="192">
        <f t="shared" ref="W54:W70" si="14">SUM(K54:V54)</f>
        <v>6594937</v>
      </c>
      <c r="X54" s="192">
        <f t="shared" ref="X54:X70" si="15">I54+W54</f>
        <v>7609597</v>
      </c>
      <c r="AA54" s="211"/>
      <c r="AB54" s="212"/>
      <c r="AC54" s="212"/>
      <c r="AD54" s="212"/>
      <c r="AE54" s="213"/>
    </row>
    <row r="55" spans="1:37" s="54" customFormat="1" ht="10.15" customHeight="1">
      <c r="A55" s="187" t="s">
        <v>461</v>
      </c>
      <c r="B55" s="192"/>
      <c r="C55" s="192"/>
      <c r="D55" s="192"/>
      <c r="E55" s="192"/>
      <c r="F55" s="192"/>
      <c r="G55" s="192"/>
      <c r="H55" s="192"/>
      <c r="I55" s="192"/>
      <c r="J55" s="192"/>
      <c r="K55" s="192">
        <v>56426</v>
      </c>
      <c r="L55" s="192">
        <v>31030</v>
      </c>
      <c r="M55" s="192">
        <v>431907</v>
      </c>
      <c r="N55" s="192">
        <v>42340</v>
      </c>
      <c r="O55" s="192">
        <v>110214</v>
      </c>
      <c r="P55" s="192">
        <v>404268</v>
      </c>
      <c r="Q55" s="192">
        <v>144416</v>
      </c>
      <c r="R55" s="192">
        <v>106305</v>
      </c>
      <c r="S55" s="192">
        <v>181285</v>
      </c>
      <c r="T55" s="192">
        <v>9024</v>
      </c>
      <c r="U55" s="192">
        <v>646179</v>
      </c>
      <c r="V55" s="192">
        <v>1028949</v>
      </c>
      <c r="W55" s="192">
        <f t="shared" si="14"/>
        <v>3192343</v>
      </c>
      <c r="X55" s="192">
        <f t="shared" si="15"/>
        <v>3192343</v>
      </c>
      <c r="AA55" s="214" t="s">
        <v>526</v>
      </c>
      <c r="AB55" s="215"/>
      <c r="AC55" s="215"/>
      <c r="AD55" s="215"/>
      <c r="AE55" s="216"/>
    </row>
    <row r="56" spans="1:37" s="54" customFormat="1" ht="10.15" customHeight="1">
      <c r="A56" s="187" t="s">
        <v>424</v>
      </c>
      <c r="B56" s="192"/>
      <c r="C56" s="192"/>
      <c r="D56" s="192"/>
      <c r="E56" s="192"/>
      <c r="F56" s="192"/>
      <c r="G56" s="192"/>
      <c r="H56" s="192"/>
      <c r="I56" s="192"/>
      <c r="J56" s="192"/>
      <c r="K56" s="192">
        <v>48460</v>
      </c>
      <c r="L56" s="192">
        <v>23545</v>
      </c>
      <c r="M56" s="192">
        <v>342665</v>
      </c>
      <c r="N56" s="192">
        <v>31380</v>
      </c>
      <c r="O56" s="192">
        <v>90262</v>
      </c>
      <c r="P56" s="192">
        <v>322109</v>
      </c>
      <c r="Q56" s="192">
        <v>115820</v>
      </c>
      <c r="R56" s="192">
        <v>84430</v>
      </c>
      <c r="S56" s="192">
        <v>140274</v>
      </c>
      <c r="T56" s="192">
        <v>7050</v>
      </c>
      <c r="U56" s="192">
        <v>545236</v>
      </c>
      <c r="V56" s="192">
        <v>780730</v>
      </c>
      <c r="W56" s="192">
        <f t="shared" si="14"/>
        <v>2531961</v>
      </c>
      <c r="X56" s="192">
        <f t="shared" si="15"/>
        <v>2531961</v>
      </c>
      <c r="AA56" s="217"/>
      <c r="AB56" s="215"/>
      <c r="AC56" s="215"/>
      <c r="AD56" s="215"/>
      <c r="AE56" s="218"/>
    </row>
    <row r="57" spans="1:37" s="54" customFormat="1" ht="10.15" customHeight="1">
      <c r="A57" s="187" t="s">
        <v>462</v>
      </c>
      <c r="B57" s="192"/>
      <c r="C57" s="192"/>
      <c r="D57" s="192"/>
      <c r="E57" s="192"/>
      <c r="F57" s="192"/>
      <c r="G57" s="192"/>
      <c r="H57" s="192"/>
      <c r="I57" s="192"/>
      <c r="J57" s="192"/>
      <c r="K57" s="192">
        <v>7966</v>
      </c>
      <c r="L57" s="192">
        <v>7485</v>
      </c>
      <c r="M57" s="192">
        <v>89242</v>
      </c>
      <c r="N57" s="192">
        <v>10960</v>
      </c>
      <c r="O57" s="192">
        <v>19952</v>
      </c>
      <c r="P57" s="192">
        <v>82159</v>
      </c>
      <c r="Q57" s="192">
        <v>28596</v>
      </c>
      <c r="R57" s="192">
        <v>21875</v>
      </c>
      <c r="S57" s="192">
        <v>41011</v>
      </c>
      <c r="T57" s="192">
        <v>1974</v>
      </c>
      <c r="U57" s="192">
        <v>100943</v>
      </c>
      <c r="V57" s="192">
        <v>150454</v>
      </c>
      <c r="W57" s="192">
        <f t="shared" si="14"/>
        <v>562617</v>
      </c>
      <c r="X57" s="192">
        <f t="shared" si="15"/>
        <v>562617</v>
      </c>
      <c r="AA57" s="214" t="s">
        <v>484</v>
      </c>
      <c r="AB57" s="215"/>
      <c r="AC57" s="215"/>
      <c r="AD57" s="215"/>
      <c r="AE57" s="216"/>
    </row>
    <row r="58" spans="1:37" s="54" customFormat="1" ht="10.15" customHeight="1">
      <c r="A58" s="54" t="s">
        <v>463</v>
      </c>
      <c r="B58" s="192"/>
      <c r="C58" s="192"/>
      <c r="D58" s="192"/>
      <c r="E58" s="192"/>
      <c r="F58" s="192"/>
      <c r="G58" s="192"/>
      <c r="H58" s="192"/>
      <c r="I58" s="192"/>
      <c r="J58" s="192"/>
      <c r="K58" s="192">
        <v>7966</v>
      </c>
      <c r="L58" s="192">
        <v>6442</v>
      </c>
      <c r="M58" s="192">
        <v>85542</v>
      </c>
      <c r="N58" s="192">
        <v>9203</v>
      </c>
      <c r="O58" s="192">
        <v>19642</v>
      </c>
      <c r="P58" s="192">
        <v>81427</v>
      </c>
      <c r="Q58" s="192">
        <v>27010</v>
      </c>
      <c r="R58" s="192">
        <v>20152</v>
      </c>
      <c r="S58" s="192">
        <v>34959</v>
      </c>
      <c r="T58" s="192">
        <v>1927</v>
      </c>
      <c r="U58" s="192">
        <v>99114</v>
      </c>
      <c r="V58" s="192">
        <v>147997</v>
      </c>
      <c r="W58" s="192">
        <f t="shared" si="14"/>
        <v>541381</v>
      </c>
      <c r="X58" s="192">
        <f t="shared" si="15"/>
        <v>541381</v>
      </c>
      <c r="AA58" s="219"/>
      <c r="AB58" s="376" t="s">
        <v>527</v>
      </c>
      <c r="AC58" s="378" t="s">
        <v>528</v>
      </c>
      <c r="AD58" s="380" t="s">
        <v>529</v>
      </c>
      <c r="AE58" s="220"/>
    </row>
    <row r="59" spans="1:37" s="54" customFormat="1" ht="10.15" customHeight="1">
      <c r="A59" s="187" t="s">
        <v>464</v>
      </c>
      <c r="B59" s="192"/>
      <c r="C59" s="192"/>
      <c r="D59" s="192"/>
      <c r="E59" s="192"/>
      <c r="F59" s="192"/>
      <c r="G59" s="192"/>
      <c r="H59" s="192"/>
      <c r="I59" s="192"/>
      <c r="J59" s="192"/>
      <c r="K59" s="192">
        <v>0</v>
      </c>
      <c r="L59" s="192">
        <v>1043</v>
      </c>
      <c r="M59" s="192">
        <v>3700</v>
      </c>
      <c r="N59" s="192">
        <v>1757</v>
      </c>
      <c r="O59" s="192">
        <v>310</v>
      </c>
      <c r="P59" s="192">
        <v>732</v>
      </c>
      <c r="Q59" s="192">
        <v>1586</v>
      </c>
      <c r="R59" s="192">
        <v>1723</v>
      </c>
      <c r="S59" s="192">
        <v>6052</v>
      </c>
      <c r="T59" s="192">
        <v>47</v>
      </c>
      <c r="U59" s="192">
        <v>1829</v>
      </c>
      <c r="V59" s="192">
        <v>2457</v>
      </c>
      <c r="W59" s="192">
        <f t="shared" si="14"/>
        <v>21236</v>
      </c>
      <c r="X59" s="192">
        <f t="shared" si="15"/>
        <v>21236</v>
      </c>
      <c r="AA59" s="219"/>
      <c r="AB59" s="377"/>
      <c r="AC59" s="379"/>
      <c r="AD59" s="381"/>
      <c r="AE59" s="220"/>
    </row>
    <row r="60" spans="1:37" s="54" customFormat="1" ht="10.15" customHeight="1">
      <c r="A60" s="187" t="s">
        <v>465</v>
      </c>
      <c r="B60" s="192"/>
      <c r="C60" s="192"/>
      <c r="D60" s="192"/>
      <c r="E60" s="192"/>
      <c r="F60" s="192"/>
      <c r="G60" s="192"/>
      <c r="H60" s="192"/>
      <c r="I60" s="192"/>
      <c r="J60" s="192"/>
      <c r="K60" s="192">
        <v>0</v>
      </c>
      <c r="L60" s="192">
        <v>0</v>
      </c>
      <c r="M60" s="192">
        <v>0</v>
      </c>
      <c r="N60" s="192">
        <v>0</v>
      </c>
      <c r="O60" s="192">
        <v>0</v>
      </c>
      <c r="P60" s="192">
        <v>0</v>
      </c>
      <c r="Q60" s="192">
        <v>0</v>
      </c>
      <c r="R60" s="192">
        <v>0</v>
      </c>
      <c r="S60" s="192">
        <v>0</v>
      </c>
      <c r="T60" s="192">
        <v>0</v>
      </c>
      <c r="U60" s="192">
        <v>0</v>
      </c>
      <c r="V60" s="192">
        <v>97765</v>
      </c>
      <c r="W60" s="192">
        <f t="shared" si="14"/>
        <v>97765</v>
      </c>
      <c r="X60" s="192">
        <f t="shared" si="15"/>
        <v>97765</v>
      </c>
      <c r="AA60" s="219"/>
      <c r="AB60" s="188"/>
      <c r="AC60" s="188"/>
      <c r="AD60" s="188"/>
      <c r="AE60" s="218"/>
    </row>
    <row r="61" spans="1:37" s="54" customFormat="1" ht="10.15" customHeight="1">
      <c r="A61" s="54" t="s">
        <v>466</v>
      </c>
      <c r="B61" s="192"/>
      <c r="C61" s="192"/>
      <c r="D61" s="192"/>
      <c r="E61" s="192"/>
      <c r="F61" s="192"/>
      <c r="G61" s="192"/>
      <c r="H61" s="192"/>
      <c r="I61" s="192"/>
      <c r="J61" s="192"/>
      <c r="K61" s="192">
        <v>380742</v>
      </c>
      <c r="L61" s="192">
        <v>159960</v>
      </c>
      <c r="M61" s="192">
        <v>353922</v>
      </c>
      <c r="N61" s="192">
        <v>162640</v>
      </c>
      <c r="O61" s="192">
        <v>154409</v>
      </c>
      <c r="P61" s="192">
        <v>408143</v>
      </c>
      <c r="Q61" s="192">
        <v>123266</v>
      </c>
      <c r="R61" s="192">
        <v>125590</v>
      </c>
      <c r="S61" s="192">
        <v>264003</v>
      </c>
      <c r="T61" s="192">
        <v>646363</v>
      </c>
      <c r="U61" s="192">
        <v>419492</v>
      </c>
      <c r="V61" s="192">
        <v>117673</v>
      </c>
      <c r="W61" s="192">
        <f t="shared" si="14"/>
        <v>3316203</v>
      </c>
      <c r="X61" s="192">
        <f t="shared" si="15"/>
        <v>3316203</v>
      </c>
      <c r="AA61" s="214" t="s">
        <v>511</v>
      </c>
      <c r="AB61" s="215"/>
      <c r="AC61" s="215"/>
      <c r="AD61" s="215"/>
      <c r="AE61" s="216"/>
    </row>
    <row r="62" spans="1:37" s="54" customFormat="1" ht="10.15" customHeight="1">
      <c r="A62" s="187" t="s">
        <v>467</v>
      </c>
      <c r="B62" s="192"/>
      <c r="C62" s="192"/>
      <c r="D62" s="192"/>
      <c r="E62" s="192"/>
      <c r="F62" s="192"/>
      <c r="G62" s="192"/>
      <c r="H62" s="192"/>
      <c r="I62" s="192"/>
      <c r="J62" s="192"/>
      <c r="K62" s="192">
        <v>203321</v>
      </c>
      <c r="L62" s="192">
        <v>246</v>
      </c>
      <c r="M62" s="192">
        <v>26998</v>
      </c>
      <c r="N62" s="192">
        <v>1342</v>
      </c>
      <c r="O62" s="192">
        <v>65864</v>
      </c>
      <c r="P62" s="192">
        <v>82745</v>
      </c>
      <c r="Q62" s="192">
        <v>29289</v>
      </c>
      <c r="R62" s="192">
        <v>11697</v>
      </c>
      <c r="S62" s="192">
        <v>3241</v>
      </c>
      <c r="T62" s="192">
        <v>4446</v>
      </c>
      <c r="U62" s="192">
        <v>204175</v>
      </c>
      <c r="V62" s="192">
        <v>0</v>
      </c>
      <c r="W62" s="192">
        <f t="shared" si="14"/>
        <v>633364</v>
      </c>
      <c r="X62" s="192">
        <f t="shared" si="15"/>
        <v>633364</v>
      </c>
      <c r="AA62" s="221"/>
      <c r="AB62" s="376" t="s">
        <v>530</v>
      </c>
      <c r="AC62" s="382" t="s">
        <v>531</v>
      </c>
      <c r="AD62" s="368" t="s">
        <v>532</v>
      </c>
      <c r="AE62" s="218"/>
    </row>
    <row r="63" spans="1:37" s="54" customFormat="1" ht="10.15" customHeight="1">
      <c r="A63" s="187" t="s">
        <v>468</v>
      </c>
      <c r="B63" s="192"/>
      <c r="C63" s="192"/>
      <c r="D63" s="192"/>
      <c r="E63" s="192"/>
      <c r="F63" s="192"/>
      <c r="G63" s="192"/>
      <c r="H63" s="192"/>
      <c r="I63" s="192"/>
      <c r="J63" s="192"/>
      <c r="K63" s="192">
        <v>177421</v>
      </c>
      <c r="L63" s="192">
        <v>159714</v>
      </c>
      <c r="M63" s="192">
        <v>326924</v>
      </c>
      <c r="N63" s="192">
        <v>161298</v>
      </c>
      <c r="O63" s="192">
        <v>88545</v>
      </c>
      <c r="P63" s="192">
        <v>325398</v>
      </c>
      <c r="Q63" s="192">
        <v>93977</v>
      </c>
      <c r="R63" s="192">
        <v>113893</v>
      </c>
      <c r="S63" s="192">
        <v>260762</v>
      </c>
      <c r="T63" s="192">
        <v>641917</v>
      </c>
      <c r="U63" s="192">
        <v>215317</v>
      </c>
      <c r="V63" s="192">
        <v>117673</v>
      </c>
      <c r="W63" s="192">
        <f t="shared" si="14"/>
        <v>2682839</v>
      </c>
      <c r="X63" s="192">
        <f t="shared" si="15"/>
        <v>2682839</v>
      </c>
      <c r="AA63" s="219"/>
      <c r="AB63" s="376"/>
      <c r="AC63" s="382"/>
      <c r="AD63" s="368"/>
      <c r="AE63" s="218"/>
    </row>
    <row r="64" spans="1:37" s="54" customFormat="1" ht="10.15" customHeight="1">
      <c r="A64" s="187" t="s">
        <v>533</v>
      </c>
      <c r="B64" s="192"/>
      <c r="C64" s="192"/>
      <c r="D64" s="192"/>
      <c r="E64" s="192"/>
      <c r="F64" s="192"/>
      <c r="G64" s="192"/>
      <c r="H64" s="192"/>
      <c r="I64" s="192">
        <f>I65+I66</f>
        <v>1014660</v>
      </c>
      <c r="J64" s="192"/>
      <c r="K64" s="192">
        <f>SUM(K65:K68)</f>
        <v>-2547</v>
      </c>
      <c r="L64" s="192">
        <f t="shared" ref="L64:V64" si="16">SUM(L65:L68)</f>
        <v>2625</v>
      </c>
      <c r="M64" s="192">
        <f t="shared" si="16"/>
        <v>27860</v>
      </c>
      <c r="N64" s="192">
        <f t="shared" si="16"/>
        <v>4132</v>
      </c>
      <c r="O64" s="192">
        <f t="shared" si="16"/>
        <v>3298</v>
      </c>
      <c r="P64" s="192">
        <f t="shared" si="16"/>
        <v>12935</v>
      </c>
      <c r="Q64" s="192">
        <f t="shared" si="16"/>
        <v>5557</v>
      </c>
      <c r="R64" s="192">
        <f t="shared" si="16"/>
        <v>5679</v>
      </c>
      <c r="S64" s="192">
        <f t="shared" si="16"/>
        <v>9262</v>
      </c>
      <c r="T64" s="192">
        <f t="shared" si="16"/>
        <v>626</v>
      </c>
      <c r="U64" s="192">
        <f t="shared" si="16"/>
        <v>16686</v>
      </c>
      <c r="V64" s="192">
        <f t="shared" si="16"/>
        <v>278</v>
      </c>
      <c r="W64" s="192">
        <f t="shared" si="14"/>
        <v>86391</v>
      </c>
      <c r="X64" s="192">
        <f t="shared" si="15"/>
        <v>1101051</v>
      </c>
      <c r="AA64" s="219"/>
      <c r="AB64" s="376"/>
      <c r="AC64" s="382"/>
      <c r="AD64" s="368"/>
      <c r="AE64" s="218"/>
    </row>
    <row r="65" spans="1:31" s="54" customFormat="1" ht="10.15" customHeight="1">
      <c r="A65" s="187" t="s">
        <v>534</v>
      </c>
      <c r="B65" s="192"/>
      <c r="C65" s="192"/>
      <c r="D65" s="192"/>
      <c r="E65" s="192"/>
      <c r="F65" s="192"/>
      <c r="G65" s="192"/>
      <c r="H65" s="192"/>
      <c r="I65" s="192">
        <v>1020210</v>
      </c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>
        <f>SUM(K65:V65)</f>
        <v>0</v>
      </c>
      <c r="X65" s="192">
        <f t="shared" si="15"/>
        <v>1020210</v>
      </c>
      <c r="AA65" s="219"/>
      <c r="AB65" s="376"/>
      <c r="AC65" s="382"/>
      <c r="AD65" s="368"/>
      <c r="AE65" s="218"/>
    </row>
    <row r="66" spans="1:31" s="54" customFormat="1" ht="10.15" customHeight="1">
      <c r="A66" s="187" t="s">
        <v>535</v>
      </c>
      <c r="B66" s="192"/>
      <c r="C66" s="192"/>
      <c r="D66" s="192"/>
      <c r="E66" s="192"/>
      <c r="F66" s="192"/>
      <c r="G66" s="192"/>
      <c r="H66" s="192"/>
      <c r="I66" s="192">
        <v>-5550</v>
      </c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>
        <f t="shared" si="14"/>
        <v>0</v>
      </c>
      <c r="X66" s="192">
        <f t="shared" si="15"/>
        <v>-5550</v>
      </c>
      <c r="AA66" s="219"/>
      <c r="AB66" s="188"/>
      <c r="AC66" s="188"/>
      <c r="AD66" s="188"/>
      <c r="AE66" s="218"/>
    </row>
    <row r="67" spans="1:31" s="54" customFormat="1" ht="10.15" customHeight="1">
      <c r="A67" s="187" t="s">
        <v>536</v>
      </c>
      <c r="B67" s="192"/>
      <c r="C67" s="192"/>
      <c r="D67" s="192"/>
      <c r="E67" s="192"/>
      <c r="F67" s="192"/>
      <c r="G67" s="192"/>
      <c r="H67" s="192"/>
      <c r="I67" s="192"/>
      <c r="J67" s="192"/>
      <c r="K67" s="192">
        <v>3036</v>
      </c>
      <c r="L67" s="192">
        <v>2656</v>
      </c>
      <c r="M67" s="192">
        <v>28537</v>
      </c>
      <c r="N67" s="192">
        <v>4186</v>
      </c>
      <c r="O67" s="192">
        <v>3429</v>
      </c>
      <c r="P67" s="192">
        <v>13168</v>
      </c>
      <c r="Q67" s="192">
        <v>6169</v>
      </c>
      <c r="R67" s="192">
        <v>5702</v>
      </c>
      <c r="S67" s="192">
        <v>9262</v>
      </c>
      <c r="T67" s="192">
        <v>626</v>
      </c>
      <c r="U67" s="192">
        <v>17439</v>
      </c>
      <c r="V67" s="192">
        <v>278</v>
      </c>
      <c r="W67" s="192">
        <f t="shared" si="14"/>
        <v>94488</v>
      </c>
      <c r="X67" s="192">
        <f t="shared" si="15"/>
        <v>94488</v>
      </c>
      <c r="AA67" s="219"/>
      <c r="AB67" s="369" t="s">
        <v>537</v>
      </c>
      <c r="AC67" s="370"/>
      <c r="AD67" s="188"/>
      <c r="AE67" s="218"/>
    </row>
    <row r="68" spans="1:31" s="54" customFormat="1" ht="10.15" customHeight="1">
      <c r="A68" s="187" t="s">
        <v>538</v>
      </c>
      <c r="B68" s="192"/>
      <c r="C68" s="192"/>
      <c r="D68" s="192"/>
      <c r="E68" s="192"/>
      <c r="F68" s="192"/>
      <c r="G68" s="192"/>
      <c r="H68" s="192"/>
      <c r="I68" s="192"/>
      <c r="J68" s="192"/>
      <c r="K68" s="192">
        <v>-5583</v>
      </c>
      <c r="L68" s="192">
        <v>-31</v>
      </c>
      <c r="M68" s="192">
        <v>-677</v>
      </c>
      <c r="N68" s="192">
        <v>-54</v>
      </c>
      <c r="O68" s="192">
        <v>-131</v>
      </c>
      <c r="P68" s="192">
        <v>-233</v>
      </c>
      <c r="Q68" s="192">
        <v>-612</v>
      </c>
      <c r="R68" s="192">
        <v>-23</v>
      </c>
      <c r="S68" s="192">
        <v>0</v>
      </c>
      <c r="T68" s="192">
        <v>0</v>
      </c>
      <c r="U68" s="192">
        <v>-753</v>
      </c>
      <c r="V68" s="192">
        <v>0</v>
      </c>
      <c r="W68" s="192">
        <f t="shared" si="14"/>
        <v>-8097</v>
      </c>
      <c r="X68" s="192">
        <f t="shared" si="15"/>
        <v>-8097</v>
      </c>
      <c r="AA68" s="219"/>
      <c r="AB68" s="370"/>
      <c r="AC68" s="370"/>
      <c r="AE68" s="218"/>
    </row>
    <row r="69" spans="1:31" s="54" customFormat="1" ht="10.15" customHeight="1">
      <c r="A69" s="187" t="s">
        <v>469</v>
      </c>
      <c r="B69" s="192"/>
      <c r="C69" s="192"/>
      <c r="D69" s="192"/>
      <c r="E69" s="192"/>
      <c r="F69" s="192"/>
      <c r="G69" s="192"/>
      <c r="H69" s="192"/>
      <c r="I69" s="192"/>
      <c r="J69" s="192"/>
      <c r="K69" s="192">
        <f>K24</f>
        <v>795761</v>
      </c>
      <c r="L69" s="192">
        <f t="shared" ref="L69:V69" si="17">L24</f>
        <v>442031</v>
      </c>
      <c r="M69" s="192">
        <f t="shared" si="17"/>
        <v>3769376</v>
      </c>
      <c r="N69" s="192">
        <f t="shared" si="17"/>
        <v>454741</v>
      </c>
      <c r="O69" s="192">
        <f t="shared" si="17"/>
        <v>612501</v>
      </c>
      <c r="P69" s="192">
        <f t="shared" si="17"/>
        <v>1404551</v>
      </c>
      <c r="Q69" s="192">
        <f t="shared" si="17"/>
        <v>628901</v>
      </c>
      <c r="R69" s="192">
        <f t="shared" si="17"/>
        <v>435648</v>
      </c>
      <c r="S69" s="192">
        <f t="shared" si="17"/>
        <v>700903</v>
      </c>
      <c r="T69" s="192">
        <f t="shared" si="17"/>
        <v>711631</v>
      </c>
      <c r="U69" s="192">
        <f t="shared" si="17"/>
        <v>1813025</v>
      </c>
      <c r="V69" s="192">
        <f t="shared" si="17"/>
        <v>1537130</v>
      </c>
      <c r="W69" s="192">
        <f t="shared" si="14"/>
        <v>13306199</v>
      </c>
      <c r="X69" s="192">
        <f t="shared" si="15"/>
        <v>13306199</v>
      </c>
      <c r="AA69" s="219"/>
      <c r="AB69" s="370"/>
      <c r="AC69" s="370"/>
      <c r="AE69" s="218"/>
    </row>
    <row r="70" spans="1:31" s="54" customFormat="1" ht="10.15" customHeight="1" thickBot="1">
      <c r="A70" s="54" t="s">
        <v>470</v>
      </c>
      <c r="B70" s="192"/>
      <c r="C70" s="192"/>
      <c r="D70" s="192"/>
      <c r="E70" s="192"/>
      <c r="F70" s="192"/>
      <c r="G70" s="192"/>
      <c r="H70" s="192"/>
      <c r="I70" s="192"/>
      <c r="J70" s="192"/>
      <c r="K70" s="192">
        <v>12560399</v>
      </c>
      <c r="L70" s="192">
        <v>212274</v>
      </c>
      <c r="M70" s="192">
        <v>10560359</v>
      </c>
      <c r="N70" s="192">
        <v>742087</v>
      </c>
      <c r="O70" s="192">
        <v>7047825</v>
      </c>
      <c r="P70" s="192">
        <v>17613390</v>
      </c>
      <c r="Q70" s="192">
        <v>4932125</v>
      </c>
      <c r="R70" s="192">
        <v>1405295</v>
      </c>
      <c r="S70" s="192">
        <v>1410816</v>
      </c>
      <c r="T70" s="192">
        <v>502337</v>
      </c>
      <c r="U70" s="192">
        <v>30453062</v>
      </c>
      <c r="V70" s="192">
        <v>11814707</v>
      </c>
      <c r="W70" s="192">
        <f t="shared" si="14"/>
        <v>99254676</v>
      </c>
      <c r="X70" s="192">
        <f t="shared" si="15"/>
        <v>99254676</v>
      </c>
      <c r="AA70" s="222"/>
      <c r="AB70" s="223"/>
      <c r="AC70" s="223"/>
      <c r="AD70" s="224"/>
      <c r="AE70" s="225"/>
    </row>
    <row r="71" spans="1:31" s="54" customFormat="1" ht="13.5" customHeight="1" thickTop="1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49">
        <f t="array" ref="K71:W71">TRANSPOSE(B39:B51)</f>
        <v>938989</v>
      </c>
      <c r="L71" s="249">
        <v>474641</v>
      </c>
      <c r="M71" s="249">
        <v>6468662</v>
      </c>
      <c r="N71" s="249">
        <v>532996</v>
      </c>
      <c r="O71" s="249">
        <v>683264</v>
      </c>
      <c r="P71" s="249">
        <v>140737</v>
      </c>
      <c r="Q71" s="249">
        <v>568288</v>
      </c>
      <c r="R71" s="249">
        <v>535541</v>
      </c>
      <c r="S71" s="249">
        <v>800076</v>
      </c>
      <c r="T71" s="249">
        <v>793035</v>
      </c>
      <c r="U71" s="249">
        <v>2125358</v>
      </c>
      <c r="V71" s="249">
        <v>1465281</v>
      </c>
      <c r="W71" s="249">
        <v>15526868</v>
      </c>
      <c r="X71" s="228"/>
    </row>
    <row r="72" spans="1:31" s="54" customFormat="1" ht="15" customHeight="1">
      <c r="A72" s="54" t="s">
        <v>106</v>
      </c>
      <c r="M72" s="231"/>
      <c r="T72" s="229"/>
      <c r="U72" s="229"/>
      <c r="V72" s="229"/>
      <c r="W72" s="229"/>
      <c r="X72" s="229"/>
      <c r="AA72" s="197"/>
      <c r="AB72" s="197"/>
      <c r="AC72" s="197"/>
      <c r="AD72" s="197"/>
      <c r="AE72" s="197"/>
    </row>
    <row r="73" spans="1:31" ht="15" customHeight="1">
      <c r="A73" s="54" t="s">
        <v>539</v>
      </c>
    </row>
  </sheetData>
  <mergeCells count="64">
    <mergeCell ref="A5:A9"/>
    <mergeCell ref="X5:X9"/>
    <mergeCell ref="Y5:Y9"/>
    <mergeCell ref="B6:B9"/>
    <mergeCell ref="C6:C9"/>
    <mergeCell ref="D6:D9"/>
    <mergeCell ref="E6:E9"/>
    <mergeCell ref="V6:V9"/>
    <mergeCell ref="W6:W9"/>
    <mergeCell ref="L6:L9"/>
    <mergeCell ref="M6:M9"/>
    <mergeCell ref="N6:N9"/>
    <mergeCell ref="O6:O9"/>
    <mergeCell ref="P6:P9"/>
    <mergeCell ref="Q6:Q9"/>
    <mergeCell ref="F33:F37"/>
    <mergeCell ref="R6:R9"/>
    <mergeCell ref="S6:S9"/>
    <mergeCell ref="T6:T9"/>
    <mergeCell ref="U6:U9"/>
    <mergeCell ref="F6:F9"/>
    <mergeCell ref="G6:G9"/>
    <mergeCell ref="H6:H9"/>
    <mergeCell ref="I6:I9"/>
    <mergeCell ref="J6:J9"/>
    <mergeCell ref="K6:K9"/>
    <mergeCell ref="G33:G37"/>
    <mergeCell ref="H33:H37"/>
    <mergeCell ref="I33:I37"/>
    <mergeCell ref="J33:J37"/>
    <mergeCell ref="A33:A37"/>
    <mergeCell ref="B33:B37"/>
    <mergeCell ref="C33:C37"/>
    <mergeCell ref="D33:D37"/>
    <mergeCell ref="E33:E37"/>
    <mergeCell ref="AF33:AF37"/>
    <mergeCell ref="K34:K37"/>
    <mergeCell ref="L34:L37"/>
    <mergeCell ref="M34:M37"/>
    <mergeCell ref="N34:N37"/>
    <mergeCell ref="T34:T37"/>
    <mergeCell ref="O34:O37"/>
    <mergeCell ref="P34:P37"/>
    <mergeCell ref="Q34:Q37"/>
    <mergeCell ref="R34:R37"/>
    <mergeCell ref="S34:S37"/>
    <mergeCell ref="AE34:AE37"/>
    <mergeCell ref="U34:U37"/>
    <mergeCell ref="V34:V37"/>
    <mergeCell ref="W34:W37"/>
    <mergeCell ref="Y34:Y37"/>
    <mergeCell ref="Z34:Z37"/>
    <mergeCell ref="AB62:AB65"/>
    <mergeCell ref="AC62:AC65"/>
    <mergeCell ref="AA34:AA37"/>
    <mergeCell ref="X33:X37"/>
    <mergeCell ref="AD62:AD65"/>
    <mergeCell ref="AB67:AC69"/>
    <mergeCell ref="AB34:AB37"/>
    <mergeCell ref="AC34:AC37"/>
    <mergeCell ref="AD34:AD37"/>
    <mergeCell ref="AB58:AB59"/>
    <mergeCell ref="AC58:AC59"/>
    <mergeCell ref="AD58:AD59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AA09-4127-4A0A-A12C-B63FF4E56CF1}">
  <dimension ref="A1:CI73"/>
  <sheetViews>
    <sheetView topLeftCell="A37" zoomScale="110" zoomScaleNormal="110" workbookViewId="0">
      <selection activeCell="R26" sqref="R26"/>
    </sheetView>
  </sheetViews>
  <sheetFormatPr defaultColWidth="16.19921875" defaultRowHeight="8.25"/>
  <cols>
    <col min="1" max="1" width="56.3984375" style="197" customWidth="1"/>
    <col min="2" max="2" width="9.59765625" style="197" customWidth="1"/>
    <col min="3" max="3" width="11.3984375" style="197" bestFit="1" customWidth="1"/>
    <col min="4" max="10" width="9" style="197" customWidth="1"/>
    <col min="11" max="11" width="10.19921875" style="197" customWidth="1"/>
    <col min="12" max="12" width="11" style="197" bestFit="1" customWidth="1"/>
    <col min="13" max="13" width="11.796875" style="197" bestFit="1" customWidth="1"/>
    <col min="14" max="15" width="11.19921875" style="197" bestFit="1" customWidth="1"/>
    <col min="16" max="16" width="10.796875" style="197" bestFit="1" customWidth="1"/>
    <col min="17" max="17" width="11" style="197" bestFit="1" customWidth="1"/>
    <col min="18" max="18" width="10.796875" style="197" bestFit="1" customWidth="1"/>
    <col min="19" max="19" width="11.19921875" style="197" bestFit="1" customWidth="1"/>
    <col min="20" max="20" width="10" style="197" bestFit="1" customWidth="1"/>
    <col min="21" max="21" width="14.3984375" style="197" bestFit="1" customWidth="1"/>
    <col min="22" max="22" width="11.3984375" style="197" bestFit="1" customWidth="1"/>
    <col min="23" max="23" width="9.796875" style="197" customWidth="1"/>
    <col min="24" max="24" width="10.59765625" style="197" customWidth="1"/>
    <col min="25" max="30" width="9" style="197" customWidth="1"/>
    <col min="31" max="31" width="14.3984375" style="197" bestFit="1" customWidth="1"/>
    <col min="32" max="32" width="9.59765625" style="197" customWidth="1"/>
    <col min="33" max="16384" width="16.19921875" style="197"/>
  </cols>
  <sheetData>
    <row r="1" spans="1:27" s="171" customFormat="1" ht="12" customHeight="1">
      <c r="A1" s="170" t="s">
        <v>483</v>
      </c>
    </row>
    <row r="2" spans="1:27" s="171" customFormat="1" ht="6.75" customHeight="1"/>
    <row r="3" spans="1:27" s="171" customFormat="1" ht="12" customHeight="1">
      <c r="A3" s="172" t="s">
        <v>484</v>
      </c>
      <c r="J3" s="173"/>
      <c r="W3" s="174"/>
    </row>
    <row r="4" spans="1:27" s="54" customFormat="1" ht="10.15" customHeight="1">
      <c r="A4" s="175"/>
      <c r="J4" s="176"/>
      <c r="W4" s="177"/>
      <c r="X4" s="177"/>
      <c r="Y4" s="178" t="s">
        <v>485</v>
      </c>
    </row>
    <row r="5" spans="1:27" s="54" customFormat="1" ht="12" customHeight="1" thickBot="1">
      <c r="A5" s="397" t="s">
        <v>471</v>
      </c>
      <c r="B5" s="179" t="s">
        <v>486</v>
      </c>
      <c r="C5" s="180"/>
      <c r="D5" s="180"/>
      <c r="E5" s="180"/>
      <c r="F5" s="180"/>
      <c r="G5" s="180"/>
      <c r="H5" s="180"/>
      <c r="I5" s="180"/>
      <c r="J5" s="181"/>
      <c r="K5" s="182" t="s">
        <v>487</v>
      </c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4"/>
      <c r="X5" s="412" t="s">
        <v>488</v>
      </c>
      <c r="Y5" s="415" t="s">
        <v>489</v>
      </c>
    </row>
    <row r="6" spans="1:27" s="54" customFormat="1" ht="21" customHeight="1" thickTop="1">
      <c r="A6" s="397"/>
      <c r="B6" s="411" t="s">
        <v>490</v>
      </c>
      <c r="C6" s="411" t="s">
        <v>491</v>
      </c>
      <c r="D6" s="411" t="s">
        <v>492</v>
      </c>
      <c r="E6" s="411" t="s">
        <v>493</v>
      </c>
      <c r="F6" s="408" t="s">
        <v>494</v>
      </c>
      <c r="G6" s="411" t="s">
        <v>495</v>
      </c>
      <c r="H6" s="411" t="s">
        <v>496</v>
      </c>
      <c r="I6" s="411" t="s">
        <v>497</v>
      </c>
      <c r="J6" s="411" t="s">
        <v>498</v>
      </c>
      <c r="K6" s="403" t="s">
        <v>499</v>
      </c>
      <c r="L6" s="403" t="s">
        <v>473</v>
      </c>
      <c r="M6" s="403" t="s">
        <v>500</v>
      </c>
      <c r="N6" s="403" t="s">
        <v>501</v>
      </c>
      <c r="O6" s="403" t="s">
        <v>502</v>
      </c>
      <c r="P6" s="403" t="s">
        <v>476</v>
      </c>
      <c r="Q6" s="403" t="s">
        <v>503</v>
      </c>
      <c r="R6" s="403" t="s">
        <v>504</v>
      </c>
      <c r="S6" s="403" t="s">
        <v>505</v>
      </c>
      <c r="T6" s="403" t="s">
        <v>506</v>
      </c>
      <c r="U6" s="403" t="s">
        <v>481</v>
      </c>
      <c r="V6" s="403" t="s">
        <v>507</v>
      </c>
      <c r="W6" s="403" t="s">
        <v>508</v>
      </c>
      <c r="X6" s="413"/>
      <c r="Y6" s="415"/>
      <c r="AA6" s="185"/>
    </row>
    <row r="7" spans="1:27" s="54" customFormat="1" ht="21" customHeight="1">
      <c r="A7" s="397"/>
      <c r="B7" s="417"/>
      <c r="C7" s="400"/>
      <c r="D7" s="400"/>
      <c r="E7" s="399"/>
      <c r="F7" s="409"/>
      <c r="G7" s="399"/>
      <c r="H7" s="399"/>
      <c r="I7" s="399"/>
      <c r="J7" s="399"/>
      <c r="K7" s="404"/>
      <c r="L7" s="404"/>
      <c r="M7" s="404"/>
      <c r="N7" s="404"/>
      <c r="O7" s="404"/>
      <c r="P7" s="404"/>
      <c r="Q7" s="404"/>
      <c r="R7" s="404"/>
      <c r="S7" s="406"/>
      <c r="T7" s="406"/>
      <c r="U7" s="404"/>
      <c r="V7" s="404"/>
      <c r="W7" s="404"/>
      <c r="X7" s="413"/>
      <c r="Y7" s="415"/>
      <c r="AA7" s="186"/>
    </row>
    <row r="8" spans="1:27" s="54" customFormat="1" ht="21" customHeight="1">
      <c r="A8" s="397"/>
      <c r="B8" s="417"/>
      <c r="C8" s="400"/>
      <c r="D8" s="400"/>
      <c r="E8" s="399"/>
      <c r="F8" s="409"/>
      <c r="G8" s="399"/>
      <c r="H8" s="399"/>
      <c r="I8" s="399"/>
      <c r="J8" s="399"/>
      <c r="K8" s="404"/>
      <c r="L8" s="404"/>
      <c r="M8" s="404"/>
      <c r="N8" s="404"/>
      <c r="O8" s="404"/>
      <c r="P8" s="404"/>
      <c r="Q8" s="404"/>
      <c r="R8" s="404"/>
      <c r="S8" s="406"/>
      <c r="T8" s="406"/>
      <c r="U8" s="404"/>
      <c r="V8" s="404"/>
      <c r="W8" s="404"/>
      <c r="X8" s="413"/>
      <c r="Y8" s="415"/>
      <c r="AA8" s="186"/>
    </row>
    <row r="9" spans="1:27" s="54" customFormat="1" ht="21" customHeight="1" thickBot="1">
      <c r="A9" s="398"/>
      <c r="B9" s="418"/>
      <c r="C9" s="401"/>
      <c r="D9" s="401"/>
      <c r="E9" s="402"/>
      <c r="F9" s="410"/>
      <c r="G9" s="402"/>
      <c r="H9" s="402"/>
      <c r="I9" s="402"/>
      <c r="J9" s="402"/>
      <c r="K9" s="405"/>
      <c r="L9" s="405"/>
      <c r="M9" s="405"/>
      <c r="N9" s="405"/>
      <c r="O9" s="405"/>
      <c r="P9" s="405"/>
      <c r="Q9" s="405"/>
      <c r="R9" s="405"/>
      <c r="S9" s="407"/>
      <c r="T9" s="407"/>
      <c r="U9" s="405"/>
      <c r="V9" s="405"/>
      <c r="W9" s="405"/>
      <c r="X9" s="414"/>
      <c r="Y9" s="416"/>
      <c r="AA9" s="186"/>
    </row>
    <row r="10" spans="1:27" s="54" customFormat="1" ht="6.75" customHeight="1" thickTop="1">
      <c r="A10" s="187"/>
      <c r="B10" s="186"/>
      <c r="C10" s="186"/>
      <c r="D10" s="186"/>
      <c r="E10" s="188"/>
      <c r="F10" s="188"/>
      <c r="G10" s="188"/>
      <c r="H10" s="188"/>
      <c r="I10" s="188"/>
      <c r="J10" s="189"/>
      <c r="K10" s="186"/>
      <c r="L10" s="186"/>
      <c r="M10" s="186"/>
      <c r="N10" s="186"/>
      <c r="O10" s="186"/>
      <c r="P10" s="186"/>
      <c r="Q10" s="186"/>
      <c r="R10" s="186"/>
      <c r="S10" s="190"/>
      <c r="T10" s="186"/>
      <c r="U10" s="186"/>
      <c r="V10" s="186"/>
      <c r="W10" s="186"/>
      <c r="X10" s="191"/>
      <c r="Y10" s="186"/>
    </row>
    <row r="11" spans="1:27" s="54" customFormat="1" ht="10.15" customHeight="1">
      <c r="A11" s="187" t="s">
        <v>472</v>
      </c>
      <c r="B11" s="192">
        <f>C11+D11+I11+J11</f>
        <v>1</v>
      </c>
      <c r="C11" s="231">
        <f>Original!C11/Original!$B11</f>
        <v>0.10842938522176511</v>
      </c>
      <c r="D11" s="231">
        <f>Original!D11/Original!$B11</f>
        <v>1.9083290645577317E-2</v>
      </c>
      <c r="E11" s="231"/>
      <c r="F11" s="231"/>
      <c r="G11" s="231"/>
      <c r="H11" s="231"/>
      <c r="I11" s="231">
        <f>Original!I11/Original!$B11</f>
        <v>1.9442187288668984E-2</v>
      </c>
      <c r="J11" s="231">
        <f>Original!J11/Original!$B11</f>
        <v>0.85304513684398864</v>
      </c>
      <c r="K11" s="231">
        <f>Original!K11/Original!$B11</f>
        <v>0.82811300238873942</v>
      </c>
      <c r="L11" s="231">
        <f>Original!L11/Original!$B11</f>
        <v>0</v>
      </c>
      <c r="M11" s="231">
        <f>Original!M11/Original!$B11</f>
        <v>0</v>
      </c>
      <c r="N11" s="231">
        <f>Original!N11/Original!$B11</f>
        <v>0</v>
      </c>
      <c r="O11" s="231">
        <f>Original!O11/Original!$B11</f>
        <v>0</v>
      </c>
      <c r="P11" s="231">
        <f>Original!P11/Original!$B11</f>
        <v>1.8317573475301626E-4</v>
      </c>
      <c r="Q11" s="231">
        <f>Original!Q11/Original!$B11</f>
        <v>1.1288737141755655E-4</v>
      </c>
      <c r="R11" s="231">
        <f>Original!R11/Original!$B11</f>
        <v>0</v>
      </c>
      <c r="S11" s="231">
        <f>Original!S11/Original!$B11</f>
        <v>0</v>
      </c>
      <c r="T11" s="231">
        <f>Original!T11/Original!$B11</f>
        <v>0</v>
      </c>
      <c r="U11" s="231">
        <f>Original!U11/Original!$B11</f>
        <v>0</v>
      </c>
      <c r="V11" s="231">
        <f>Original!V11/Original!$B11</f>
        <v>6.4111507163555701E-4</v>
      </c>
      <c r="W11" s="231"/>
      <c r="X11" s="231">
        <f>Original!X11/Original!$B11</f>
        <v>0</v>
      </c>
      <c r="Y11" s="231">
        <f>Original!Y11/Original!$B11</f>
        <v>2.399495627744308E-2</v>
      </c>
    </row>
    <row r="12" spans="1:27" s="54" customFormat="1" ht="10.15" customHeight="1">
      <c r="A12" s="187" t="s">
        <v>473</v>
      </c>
      <c r="B12" s="192">
        <f t="shared" ref="B12:B22" si="0">C12+D12+I12+J12</f>
        <v>1</v>
      </c>
      <c r="C12" s="231">
        <f>Original!C12/Original!$B12</f>
        <v>4.8196426351705818E-2</v>
      </c>
      <c r="D12" s="231">
        <f>Original!D12/Original!$B12</f>
        <v>1.7781860395541051E-2</v>
      </c>
      <c r="E12" s="231">
        <f>Original!E12/Original!$B12</f>
        <v>6.3205664913060607E-5</v>
      </c>
      <c r="F12" s="231">
        <f>Original!F12/Original!$B12</f>
        <v>0</v>
      </c>
      <c r="G12" s="231">
        <f>Original!G12/Original!$B12</f>
        <v>3.0654747482834394E-3</v>
      </c>
      <c r="H12" s="231">
        <f>Original!H12/Original!$B12</f>
        <v>6.7903952671598111E-3</v>
      </c>
      <c r="I12" s="231">
        <f>Original!I12/Original!$B12</f>
        <v>9.9190756803563106E-3</v>
      </c>
      <c r="J12" s="231">
        <f>Original!J12/Original!$B12</f>
        <v>0.92410263757239686</v>
      </c>
      <c r="K12" s="231">
        <f>Original!K12/Original!$B12</f>
        <v>6.6787319258134045E-4</v>
      </c>
      <c r="L12" s="231">
        <f>Original!L12/Original!$B12</f>
        <v>0.84633228060786991</v>
      </c>
      <c r="M12" s="231">
        <f>Original!M12/Original!$B12</f>
        <v>3.9061100916271455E-3</v>
      </c>
      <c r="N12" s="231">
        <f>Original!N12/Original!$B12</f>
        <v>0</v>
      </c>
      <c r="O12" s="231">
        <f>Original!O12/Original!$B12</f>
        <v>0</v>
      </c>
      <c r="P12" s="231">
        <f>Original!P12/Original!$B12</f>
        <v>6.7419375907264644E-4</v>
      </c>
      <c r="Q12" s="231">
        <f>Original!Q12/Original!$B12</f>
        <v>0</v>
      </c>
      <c r="R12" s="231">
        <f>Original!R12/Original!$B12</f>
        <v>0</v>
      </c>
      <c r="S12" s="231">
        <f>Original!S12/Original!$B12</f>
        <v>0</v>
      </c>
      <c r="T12" s="231">
        <f>Original!T12/Original!$B12</f>
        <v>0</v>
      </c>
      <c r="U12" s="231">
        <f>Original!U12/Original!$B12</f>
        <v>0</v>
      </c>
      <c r="V12" s="231">
        <f>Original!V12/Original!$B12</f>
        <v>3.1602832456530304E-5</v>
      </c>
      <c r="W12" s="231"/>
      <c r="X12" s="231">
        <f>Original!X12/Original!$B12</f>
        <v>0</v>
      </c>
      <c r="Y12" s="231">
        <f>Original!Y12/Original!$B12</f>
        <v>7.2490577088789213E-2</v>
      </c>
    </row>
    <row r="13" spans="1:27" s="54" customFormat="1" ht="10.15" customHeight="1">
      <c r="A13" s="187" t="s">
        <v>474</v>
      </c>
      <c r="B13" s="192">
        <f t="shared" si="0"/>
        <v>1</v>
      </c>
      <c r="C13" s="231">
        <f>Original!C13/Original!$B13</f>
        <v>0.16165970644315625</v>
      </c>
      <c r="D13" s="231">
        <f>Original!D13/Original!$B13</f>
        <v>1.1010004851080486E-2</v>
      </c>
      <c r="E13" s="231">
        <f>Original!E13/Original!$B13</f>
        <v>6.9810418290521285E-3</v>
      </c>
      <c r="F13" s="231">
        <f>Original!F13/Original!$B13</f>
        <v>8.640735904890378E-3</v>
      </c>
      <c r="G13" s="231">
        <f>Original!G13/Original!$B13</f>
        <v>5.8680141271873536E-2</v>
      </c>
      <c r="H13" s="231">
        <f>Original!H13/Original!$B13</f>
        <v>2.3586021344135774E-2</v>
      </c>
      <c r="I13" s="231">
        <f>Original!I13/Original!$B13</f>
        <v>9.788794034995181E-2</v>
      </c>
      <c r="J13" s="231">
        <f>Original!J13/Original!$B13</f>
        <v>0.72944234835581145</v>
      </c>
      <c r="K13" s="231">
        <f>Original!K13/Original!$B13</f>
        <v>1.5350933469703626E-3</v>
      </c>
      <c r="L13" s="231">
        <f>Original!L13/Original!$B13</f>
        <v>9.4687278451092364E-4</v>
      </c>
      <c r="M13" s="231">
        <f>Original!M13/Original!$B13</f>
        <v>0.57242811573707209</v>
      </c>
      <c r="N13" s="231">
        <f>Original!N13/Original!$B13</f>
        <v>0</v>
      </c>
      <c r="O13" s="231">
        <f>Original!O13/Original!$B13</f>
        <v>8.3479396511983473E-6</v>
      </c>
      <c r="P13" s="231">
        <f>Original!P13/Original!$B13</f>
        <v>1.4151149032056397E-2</v>
      </c>
      <c r="Q13" s="231">
        <f>Original!Q13/Original!$B13</f>
        <v>2.2724946828262168E-5</v>
      </c>
      <c r="R13" s="231">
        <f>Original!R13/Original!$B13</f>
        <v>1.0156659908957989E-4</v>
      </c>
      <c r="S13" s="231">
        <f>Original!S13/Original!$B13</f>
        <v>0</v>
      </c>
      <c r="T13" s="231">
        <f>Original!T13/Original!$B13</f>
        <v>0</v>
      </c>
      <c r="U13" s="231">
        <f>Original!U13/Original!$B13</f>
        <v>6.415546213420952E-4</v>
      </c>
      <c r="V13" s="231">
        <f>Original!V13/Original!$B13</f>
        <v>3.108834562696273E-4</v>
      </c>
      <c r="W13" s="231"/>
      <c r="X13" s="231">
        <f>Original!X13/Original!$B13</f>
        <v>0</v>
      </c>
      <c r="Y13" s="231">
        <f>Original!Y13/Original!$B13</f>
        <v>0.13929603989202094</v>
      </c>
    </row>
    <row r="14" spans="1:27" s="54" customFormat="1" ht="10.15" customHeight="1">
      <c r="A14" s="187" t="s">
        <v>509</v>
      </c>
      <c r="B14" s="192">
        <f t="shared" si="0"/>
        <v>1</v>
      </c>
      <c r="C14" s="231">
        <f>Original!C14/Original!$B14</f>
        <v>8.8781154079955564E-3</v>
      </c>
      <c r="D14" s="231">
        <f>Original!D14/Original!$B14</f>
        <v>0</v>
      </c>
      <c r="E14" s="231">
        <f>Original!E14/Original!$B14</f>
        <v>0</v>
      </c>
      <c r="F14" s="231">
        <f>Original!F14/Original!$B14</f>
        <v>0</v>
      </c>
      <c r="G14" s="231">
        <f>Original!G14/Original!$B14</f>
        <v>0.1084979999849905</v>
      </c>
      <c r="H14" s="231">
        <f>Original!H14/Original!$B14</f>
        <v>2.5281615621880839E-2</v>
      </c>
      <c r="I14" s="231">
        <f>Original!I14/Original!$B14</f>
        <v>0.13377961560687135</v>
      </c>
      <c r="J14" s="231">
        <f>Original!J14/Original!$B14</f>
        <v>0.8573422689851331</v>
      </c>
      <c r="K14" s="231">
        <f>Original!K14/Original!$B14</f>
        <v>0</v>
      </c>
      <c r="L14" s="231">
        <f>Original!L14/Original!$B14</f>
        <v>0</v>
      </c>
      <c r="M14" s="231">
        <f>Original!M14/Original!$B14</f>
        <v>0</v>
      </c>
      <c r="N14" s="231">
        <f>Original!N14/Original!$B14</f>
        <v>0.82840584169487197</v>
      </c>
      <c r="O14" s="231">
        <f>Original!O14/Original!$B14</f>
        <v>0</v>
      </c>
      <c r="P14" s="231">
        <f>Original!P14/Original!$B14</f>
        <v>0</v>
      </c>
      <c r="Q14" s="231">
        <f>Original!Q14/Original!$B14</f>
        <v>0</v>
      </c>
      <c r="R14" s="231">
        <f>Original!R14/Original!$B14</f>
        <v>0</v>
      </c>
      <c r="S14" s="231">
        <f>Original!S14/Original!$B14</f>
        <v>0</v>
      </c>
      <c r="T14" s="231">
        <f>Original!T14/Original!$B14</f>
        <v>0</v>
      </c>
      <c r="U14" s="231">
        <f>Original!U14/Original!$B14</f>
        <v>0</v>
      </c>
      <c r="V14" s="231">
        <f>Original!V14/Original!$B14</f>
        <v>1.495696027737544E-2</v>
      </c>
      <c r="W14" s="231"/>
      <c r="X14" s="231">
        <f>Original!X14/Original!$B14</f>
        <v>0</v>
      </c>
      <c r="Y14" s="231">
        <f>Original!Y14/Original!$B14</f>
        <v>1.397946701288565E-2</v>
      </c>
    </row>
    <row r="15" spans="1:27" s="54" customFormat="1" ht="10.15" customHeight="1">
      <c r="A15" s="187" t="s">
        <v>475</v>
      </c>
      <c r="B15" s="192">
        <f t="shared" si="0"/>
        <v>1</v>
      </c>
      <c r="C15" s="231">
        <f>Original!C15/Original!$B15</f>
        <v>0</v>
      </c>
      <c r="D15" s="231">
        <f>Original!D15/Original!$B15</f>
        <v>0</v>
      </c>
      <c r="E15" s="231">
        <f>Original!E15/Original!$B15</f>
        <v>0</v>
      </c>
      <c r="F15" s="231">
        <f>Original!F15/Original!$B15</f>
        <v>0</v>
      </c>
      <c r="G15" s="231">
        <f>Original!G15/Original!$B15</f>
        <v>0</v>
      </c>
      <c r="H15" s="231">
        <f>Original!H15/Original!$B15</f>
        <v>4.6119801423754214E-2</v>
      </c>
      <c r="I15" s="231">
        <f>Original!I15/Original!$B15</f>
        <v>4.6119801423754214E-2</v>
      </c>
      <c r="J15" s="231">
        <f>Original!J15/Original!$B15</f>
        <v>0.95388019857624573</v>
      </c>
      <c r="K15" s="231">
        <f>Original!K15/Original!$B15</f>
        <v>1.1297243817909329E-2</v>
      </c>
      <c r="L15" s="231">
        <f>Original!L15/Original!$B15</f>
        <v>4.876738713001124E-2</v>
      </c>
      <c r="M15" s="231">
        <f>Original!M15/Original!$B15</f>
        <v>0</v>
      </c>
      <c r="N15" s="231">
        <f>Original!N15/Original!$B15</f>
        <v>0</v>
      </c>
      <c r="O15" s="231">
        <f>Original!O15/Original!$B15</f>
        <v>0.88880140033720489</v>
      </c>
      <c r="P15" s="231">
        <f>Original!P15/Original!$B15</f>
        <v>0</v>
      </c>
      <c r="Q15" s="231">
        <f>Original!Q15/Original!$B15</f>
        <v>0</v>
      </c>
      <c r="R15" s="231">
        <f>Original!R15/Original!$B15</f>
        <v>0</v>
      </c>
      <c r="S15" s="231">
        <f>Original!S15/Original!$B15</f>
        <v>0</v>
      </c>
      <c r="T15" s="231">
        <f>Original!T15/Original!$B15</f>
        <v>0</v>
      </c>
      <c r="U15" s="231">
        <f>Original!U15/Original!$B15</f>
        <v>0</v>
      </c>
      <c r="V15" s="231">
        <f>Original!V15/Original!$B15</f>
        <v>1.4635631322592731E-6</v>
      </c>
      <c r="W15" s="231"/>
      <c r="X15" s="231">
        <f>Original!X15/Original!$B15</f>
        <v>0</v>
      </c>
      <c r="Y15" s="231">
        <f>Original!Y15/Original!$B15</f>
        <v>5.0127037279880104E-3</v>
      </c>
    </row>
    <row r="16" spans="1:27" s="54" customFormat="1" ht="10.15" customHeight="1">
      <c r="A16" s="187" t="s">
        <v>476</v>
      </c>
      <c r="B16" s="192">
        <f t="shared" si="0"/>
        <v>1</v>
      </c>
      <c r="C16" s="231">
        <f>Original!C16/Original!$B16</f>
        <v>-8.4319191115342811</v>
      </c>
      <c r="D16" s="231">
        <f>Original!D16/Original!$B16</f>
        <v>0</v>
      </c>
      <c r="E16" s="231">
        <f>Original!E16/Original!$B16</f>
        <v>0</v>
      </c>
      <c r="F16" s="231">
        <f>Original!F16/Original!$B16</f>
        <v>0</v>
      </c>
      <c r="G16" s="231">
        <f>Original!G16/Original!$B16</f>
        <v>0</v>
      </c>
      <c r="H16" s="231">
        <f>Original!H16/Original!$B16</f>
        <v>1.859496791888416E-2</v>
      </c>
      <c r="I16" s="231">
        <f>Original!I16/Original!$B16</f>
        <v>1.859496791888416E-2</v>
      </c>
      <c r="J16" s="231">
        <f>Original!J16/Original!$B16</f>
        <v>9.4133241436153963</v>
      </c>
      <c r="K16" s="231">
        <f>Original!K16/Original!$B16</f>
        <v>0</v>
      </c>
      <c r="L16" s="231">
        <f>Original!L16/Original!$B16</f>
        <v>2.273744644265545E-4</v>
      </c>
      <c r="M16" s="231">
        <f>Original!M16/Original!$B16</f>
        <v>0.17629336990272637</v>
      </c>
      <c r="N16" s="231">
        <f>Original!N16/Original!$B16</f>
        <v>2.4158536845321415E-4</v>
      </c>
      <c r="O16" s="231">
        <f>Original!O16/Original!$B16</f>
        <v>8.5265424159957934E-5</v>
      </c>
      <c r="P16" s="231">
        <f>Original!P16/Original!$B16</f>
        <v>9.1583378926650418</v>
      </c>
      <c r="Q16" s="231">
        <f>Original!Q16/Original!$B16</f>
        <v>5.8975251710637576E-3</v>
      </c>
      <c r="R16" s="231">
        <f>Original!R16/Original!$B16</f>
        <v>2.6915452226493389E-2</v>
      </c>
      <c r="S16" s="231">
        <f>Original!S16/Original!$B16</f>
        <v>0</v>
      </c>
      <c r="T16" s="231">
        <f>Original!T16/Original!$B16</f>
        <v>0</v>
      </c>
      <c r="U16" s="231">
        <f>Original!U16/Original!$B16</f>
        <v>1.9028400491697281E-2</v>
      </c>
      <c r="V16" s="231">
        <f>Original!V16/Original!$B16</f>
        <v>2.3447991643988433E-3</v>
      </c>
      <c r="W16" s="231"/>
      <c r="X16" s="231">
        <f>Original!X16/Original!$B16</f>
        <v>0</v>
      </c>
      <c r="Y16" s="231">
        <f>Original!Y16/Original!$B16</f>
        <v>2.3952478736934849E-2</v>
      </c>
    </row>
    <row r="17" spans="1:32" s="54" customFormat="1" ht="10.15" customHeight="1">
      <c r="A17" s="187" t="s">
        <v>477</v>
      </c>
      <c r="B17" s="192">
        <f t="shared" si="0"/>
        <v>1</v>
      </c>
      <c r="C17" s="231">
        <f>Original!C17/Original!$B17</f>
        <v>0</v>
      </c>
      <c r="D17" s="231">
        <f>Original!D17/Original!$B17</f>
        <v>-0.17181605101638606</v>
      </c>
      <c r="E17" s="231">
        <f>Original!E17/Original!$B17</f>
        <v>0</v>
      </c>
      <c r="F17" s="231">
        <f>Original!F17/Original!$B17</f>
        <v>0</v>
      </c>
      <c r="G17" s="231">
        <f>Original!G17/Original!$B17</f>
        <v>1.8631398164311055E-2</v>
      </c>
      <c r="H17" s="231">
        <f>Original!H17/Original!$B17</f>
        <v>3.4007404696210372E-2</v>
      </c>
      <c r="I17" s="231">
        <f>Original!I17/Original!$B17</f>
        <v>5.2638802860521423E-2</v>
      </c>
      <c r="J17" s="231">
        <f>Original!J17/Original!$B17</f>
        <v>1.1191772481558646</v>
      </c>
      <c r="K17" s="231">
        <f>Original!K17/Original!$B17</f>
        <v>0</v>
      </c>
      <c r="L17" s="231">
        <f>Original!L17/Original!$B17</f>
        <v>0</v>
      </c>
      <c r="M17" s="231">
        <f>Original!M17/Original!$B17</f>
        <v>0</v>
      </c>
      <c r="N17" s="231">
        <f>Original!N17/Original!$B17</f>
        <v>8.0592938791598627E-4</v>
      </c>
      <c r="O17" s="231">
        <f>Original!O17/Original!$B17</f>
        <v>0</v>
      </c>
      <c r="P17" s="231">
        <f>Original!P17/Original!$B17</f>
        <v>5.2930908271862157E-3</v>
      </c>
      <c r="Q17" s="231">
        <f>Original!Q17/Original!$B17</f>
        <v>1.0757767188467819</v>
      </c>
      <c r="R17" s="231">
        <f>Original!R17/Original!$B17</f>
        <v>0</v>
      </c>
      <c r="S17" s="231">
        <f>Original!S17/Original!$B17</f>
        <v>0</v>
      </c>
      <c r="T17" s="231">
        <f>Original!T17/Original!$B17</f>
        <v>0</v>
      </c>
      <c r="U17" s="231">
        <f>Original!U17/Original!$B17</f>
        <v>1.6716875950222422E-4</v>
      </c>
      <c r="V17" s="231">
        <f>Original!V17/Original!$B17</f>
        <v>8.214144940593502E-3</v>
      </c>
      <c r="W17" s="231"/>
      <c r="X17" s="231">
        <f>Original!X17/Original!$B17</f>
        <v>0</v>
      </c>
      <c r="Y17" s="231">
        <f>Original!Y17/Original!$B17</f>
        <v>2.8920195393884792E-2</v>
      </c>
    </row>
    <row r="18" spans="1:32" s="54" customFormat="1" ht="10.15" customHeight="1">
      <c r="A18" s="187" t="s">
        <v>478</v>
      </c>
      <c r="B18" s="192">
        <f t="shared" si="0"/>
        <v>1</v>
      </c>
      <c r="C18" s="231">
        <f>Original!C18/Original!$B18</f>
        <v>2.1546436220569481E-2</v>
      </c>
      <c r="D18" s="231">
        <f>Original!D18/Original!$B18</f>
        <v>1.1577078132206497E-4</v>
      </c>
      <c r="E18" s="231">
        <f>Original!E18/Original!$B18</f>
        <v>2.2407247997819028E-5</v>
      </c>
      <c r="F18" s="231">
        <f>Original!F18/Original!$B18</f>
        <v>0</v>
      </c>
      <c r="G18" s="231">
        <f>Original!G18/Original!$B18</f>
        <v>7.2507987250275893E-2</v>
      </c>
      <c r="H18" s="231">
        <f>Original!H18/Original!$B18</f>
        <v>3.2806078339473542E-2</v>
      </c>
      <c r="I18" s="231">
        <f>Original!I18/Original!$B18</f>
        <v>0.10533647283774725</v>
      </c>
      <c r="J18" s="231">
        <f>Original!J18/Original!$B18</f>
        <v>0.87300132016036125</v>
      </c>
      <c r="K18" s="231">
        <f>Original!K18/Original!$B18</f>
        <v>0</v>
      </c>
      <c r="L18" s="231">
        <f>Original!L18/Original!$B18</f>
        <v>0</v>
      </c>
      <c r="M18" s="231">
        <f>Original!M18/Original!$B18</f>
        <v>0</v>
      </c>
      <c r="N18" s="231">
        <f>Original!N18/Original!$B18</f>
        <v>0</v>
      </c>
      <c r="O18" s="231">
        <f>Original!O18/Original!$B18</f>
        <v>0</v>
      </c>
      <c r="P18" s="231">
        <f>Original!P18/Original!$B18</f>
        <v>1.9550323878097103E-3</v>
      </c>
      <c r="Q18" s="231">
        <f>Original!Q18/Original!$B18</f>
        <v>8.9628991991276113E-5</v>
      </c>
      <c r="R18" s="231">
        <f>Original!R18/Original!$B18</f>
        <v>0.79731897277706099</v>
      </c>
      <c r="S18" s="231">
        <f>Original!S18/Original!$B18</f>
        <v>2.330353791773179E-3</v>
      </c>
      <c r="T18" s="231">
        <f>Original!T18/Original!$B18</f>
        <v>0</v>
      </c>
      <c r="U18" s="231">
        <f>Original!U18/Original!$B18</f>
        <v>2.5581608130843391E-4</v>
      </c>
      <c r="V18" s="231">
        <f>Original!V18/Original!$B18</f>
        <v>3.9007284222869957E-3</v>
      </c>
      <c r="W18" s="231"/>
      <c r="X18" s="231">
        <f>Original!X18/Original!$B18</f>
        <v>0</v>
      </c>
      <c r="Y18" s="231">
        <f>Original!Y18/Original!$B18</f>
        <v>6.7150787708130655E-2</v>
      </c>
    </row>
    <row r="19" spans="1:32" s="54" customFormat="1" ht="9.75" customHeight="1">
      <c r="A19" s="193" t="s">
        <v>479</v>
      </c>
      <c r="B19" s="192">
        <f t="shared" si="0"/>
        <v>1</v>
      </c>
      <c r="C19" s="231">
        <f>Original!C19/Original!$B19</f>
        <v>0</v>
      </c>
      <c r="D19" s="231">
        <f>Original!D19/Original!$B19</f>
        <v>0</v>
      </c>
      <c r="E19" s="231">
        <f>Original!E19/Original!$B19</f>
        <v>0</v>
      </c>
      <c r="F19" s="231">
        <f>Original!F19/Original!$B19</f>
        <v>0</v>
      </c>
      <c r="G19" s="231">
        <f>Original!G19/Original!$B19</f>
        <v>0</v>
      </c>
      <c r="H19" s="231">
        <f>Original!H19/Original!$B19</f>
        <v>8.4351986561276682E-2</v>
      </c>
      <c r="I19" s="231">
        <f>Original!I19/Original!$B19</f>
        <v>8.4351986561276682E-2</v>
      </c>
      <c r="J19" s="231">
        <f>Original!J19/Original!$B19</f>
        <v>0.91564801343872337</v>
      </c>
      <c r="K19" s="231">
        <f>Original!K19/Original!$B19</f>
        <v>0</v>
      </c>
      <c r="L19" s="231">
        <f>Original!L19/Original!$B19</f>
        <v>0</v>
      </c>
      <c r="M19" s="231">
        <f>Original!M19/Original!$B19</f>
        <v>0</v>
      </c>
      <c r="N19" s="231">
        <f>Original!N19/Original!$B19</f>
        <v>0</v>
      </c>
      <c r="O19" s="231">
        <f>Original!O19/Original!$B19</f>
        <v>0</v>
      </c>
      <c r="P19" s="231">
        <f>Original!P19/Original!$B19</f>
        <v>0</v>
      </c>
      <c r="Q19" s="231">
        <f>Original!Q19/Original!$B19</f>
        <v>0</v>
      </c>
      <c r="R19" s="231">
        <f>Original!R19/Original!$B19</f>
        <v>0</v>
      </c>
      <c r="S19" s="231">
        <f>Original!S19/Original!$B19</f>
        <v>0.85974582414670608</v>
      </c>
      <c r="T19" s="231">
        <f>Original!T19/Original!$B19</f>
        <v>0</v>
      </c>
      <c r="U19" s="231">
        <f>Original!U19/Original!$B19</f>
        <v>0</v>
      </c>
      <c r="V19" s="231">
        <f>Original!V19/Original!$B19</f>
        <v>5.4244846739559744E-4</v>
      </c>
      <c r="W19" s="231"/>
      <c r="X19" s="231">
        <f>Original!X19/Original!$B19</f>
        <v>0</v>
      </c>
      <c r="Y19" s="231">
        <f>Original!Y19/Original!$B19</f>
        <v>5.535974082462166E-2</v>
      </c>
    </row>
    <row r="20" spans="1:32" s="54" customFormat="1" ht="10.15" customHeight="1">
      <c r="A20" s="187" t="s">
        <v>480</v>
      </c>
      <c r="B20" s="192">
        <f t="shared" si="0"/>
        <v>1</v>
      </c>
      <c r="C20" s="231">
        <f>Original!C20/Original!$B20</f>
        <v>0</v>
      </c>
      <c r="D20" s="231">
        <f>Original!D20/Original!$B20</f>
        <v>0</v>
      </c>
      <c r="E20" s="231">
        <f>Original!E20/Original!$B20</f>
        <v>0</v>
      </c>
      <c r="F20" s="231">
        <f>Original!F20/Original!$B20</f>
        <v>0</v>
      </c>
      <c r="G20" s="231">
        <f>Original!G20/Original!$B20</f>
        <v>0</v>
      </c>
      <c r="H20" s="231">
        <f>Original!H20/Original!$B20</f>
        <v>1.5737010346327715E-3</v>
      </c>
      <c r="I20" s="231">
        <f>Original!I20/Original!$B20</f>
        <v>1.5737010346327715E-3</v>
      </c>
      <c r="J20" s="231">
        <f>Original!J20/Original!$B20</f>
        <v>0.99842629896536728</v>
      </c>
      <c r="K20" s="231">
        <f>Original!K20/Original!$B20</f>
        <v>1.1601001216844149E-4</v>
      </c>
      <c r="L20" s="231">
        <f>Original!L20/Original!$B20</f>
        <v>8.4485552340060653E-4</v>
      </c>
      <c r="M20" s="231">
        <f>Original!M20/Original!$B20</f>
        <v>3.3282263708411357E-2</v>
      </c>
      <c r="N20" s="231">
        <f>Original!N20/Original!$B20</f>
        <v>1.559830272308284E-2</v>
      </c>
      <c r="O20" s="231">
        <f>Original!O20/Original!$B20</f>
        <v>4.7438007149747489E-3</v>
      </c>
      <c r="P20" s="231">
        <f>Original!P20/Original!$B20</f>
        <v>3.3277219794838817E-3</v>
      </c>
      <c r="Q20" s="231">
        <f>Original!Q20/Original!$B20</f>
        <v>6.5079094869709411E-3</v>
      </c>
      <c r="R20" s="231">
        <f>Original!R20/Original!$B20</f>
        <v>1.9242530279243665E-3</v>
      </c>
      <c r="S20" s="231">
        <f>Original!S20/Original!$B20</f>
        <v>1.1449683809667922E-2</v>
      </c>
      <c r="T20" s="231">
        <f>Original!T20/Original!$B20</f>
        <v>0.89735131488521946</v>
      </c>
      <c r="U20" s="231">
        <f>Original!U20/Original!$B20</f>
        <v>1.0956641257952045E-2</v>
      </c>
      <c r="V20" s="231">
        <f>Original!V20/Original!$B20</f>
        <v>3.3302439362701522E-3</v>
      </c>
      <c r="W20" s="231"/>
      <c r="X20" s="231">
        <f>Original!X20/Original!$B20</f>
        <v>0</v>
      </c>
      <c r="Y20" s="231">
        <f>Original!Y20/Original!$B20</f>
        <v>8.9932978998404859E-3</v>
      </c>
      <c r="AB20" s="192"/>
    </row>
    <row r="21" spans="1:32" s="54" customFormat="1" ht="10.15" customHeight="1">
      <c r="A21" s="187" t="s">
        <v>481</v>
      </c>
      <c r="B21" s="192">
        <f t="shared" si="0"/>
        <v>1</v>
      </c>
      <c r="C21" s="231">
        <f>Original!C21/Original!$B21</f>
        <v>0</v>
      </c>
      <c r="D21" s="231">
        <f>Original!D21/Original!$B21</f>
        <v>0</v>
      </c>
      <c r="E21" s="231">
        <f>Original!E21/Original!$B21</f>
        <v>1.4115269051143385E-6</v>
      </c>
      <c r="F21" s="231">
        <f>Original!F21/Original!$B21</f>
        <v>0</v>
      </c>
      <c r="G21" s="231">
        <f>Original!G21/Original!$B21</f>
        <v>1.0868286660412034E-2</v>
      </c>
      <c r="H21" s="231">
        <f>Original!H21/Original!$B21</f>
        <v>3.5238769186179457E-2</v>
      </c>
      <c r="I21" s="231">
        <f>Original!I21/Original!$B21</f>
        <v>4.6108467373496609E-2</v>
      </c>
      <c r="J21" s="231">
        <f>Original!J21/Original!$B21</f>
        <v>0.95389153262650339</v>
      </c>
      <c r="K21" s="231">
        <f>Original!K21/Original!$B21</f>
        <v>5.3638022394344859E-5</v>
      </c>
      <c r="L21" s="231">
        <f>Original!L21/Original!$B21</f>
        <v>8.422110533848886E-5</v>
      </c>
      <c r="M21" s="231">
        <f>Original!M21/Original!$B21</f>
        <v>6.3391673308684938E-3</v>
      </c>
      <c r="N21" s="231">
        <f>Original!N21/Original!$B21</f>
        <v>1.6091406718303456E-4</v>
      </c>
      <c r="O21" s="231">
        <f>Original!O21/Original!$B21</f>
        <v>6.5259593913119583E-4</v>
      </c>
      <c r="P21" s="231">
        <f>Original!P21/Original!$B21</f>
        <v>7.9558361461927827E-3</v>
      </c>
      <c r="Q21" s="231">
        <f>Original!Q21/Original!$B21</f>
        <v>5.2969899659257406E-3</v>
      </c>
      <c r="R21" s="231">
        <f>Original!R21/Original!$B21</f>
        <v>1.2609640352354756E-3</v>
      </c>
      <c r="S21" s="231">
        <f>Original!S21/Original!$B21</f>
        <v>1.2764908311917334E-3</v>
      </c>
      <c r="T21" s="231">
        <f>Original!T21/Original!$B21</f>
        <v>0</v>
      </c>
      <c r="U21" s="231">
        <f>Original!U21/Original!$B21</f>
        <v>0.84563447663875924</v>
      </c>
      <c r="V21" s="231">
        <f>Original!V21/Original!$B21</f>
        <v>2.4036421158223697E-2</v>
      </c>
      <c r="W21" s="231"/>
      <c r="X21" s="231">
        <f>Original!X21/Original!$B21</f>
        <v>0</v>
      </c>
      <c r="Y21" s="231">
        <f>Original!Y21/Original!$B21</f>
        <v>6.1139817386059198E-2</v>
      </c>
    </row>
    <row r="22" spans="1:32" s="54" customFormat="1" ht="10.15" customHeight="1">
      <c r="A22" s="187" t="s">
        <v>482</v>
      </c>
      <c r="B22" s="192">
        <f t="shared" si="0"/>
        <v>1</v>
      </c>
      <c r="C22" s="231">
        <f>Original!C22/Original!$B22</f>
        <v>0</v>
      </c>
      <c r="D22" s="231">
        <f>Original!D22/Original!$B22</f>
        <v>0</v>
      </c>
      <c r="E22" s="231">
        <f>Original!E22/Original!$B22</f>
        <v>0</v>
      </c>
      <c r="F22" s="231">
        <f>Original!F22/Original!$B22</f>
        <v>0</v>
      </c>
      <c r="G22" s="231">
        <f>Original!G22/Original!$B22</f>
        <v>0</v>
      </c>
      <c r="H22" s="231">
        <f>Original!H22/Original!$B22</f>
        <v>0</v>
      </c>
      <c r="I22" s="231">
        <f>Original!I22/Original!$B22</f>
        <v>0</v>
      </c>
      <c r="J22" s="231">
        <f>Original!J22/Original!$B22</f>
        <v>1</v>
      </c>
      <c r="K22" s="231">
        <f>Original!K22/Original!$B22</f>
        <v>0</v>
      </c>
      <c r="L22" s="231">
        <f>Original!L22/Original!$B22</f>
        <v>0</v>
      </c>
      <c r="M22" s="231">
        <f>Original!M22/Original!$B22</f>
        <v>0</v>
      </c>
      <c r="N22" s="231">
        <f>Original!N22/Original!$B22</f>
        <v>0</v>
      </c>
      <c r="O22" s="231">
        <f>Original!O22/Original!$B22</f>
        <v>0</v>
      </c>
      <c r="P22" s="231">
        <f>Original!P22/Original!$B22</f>
        <v>0</v>
      </c>
      <c r="Q22" s="231">
        <f>Original!Q22/Original!$B22</f>
        <v>0</v>
      </c>
      <c r="R22" s="231">
        <f>Original!R22/Original!$B22</f>
        <v>0</v>
      </c>
      <c r="S22" s="231">
        <f>Original!S22/Original!$B22</f>
        <v>0</v>
      </c>
      <c r="T22" s="231">
        <f>Original!T22/Original!$B22</f>
        <v>0</v>
      </c>
      <c r="U22" s="231">
        <f>Original!U22/Original!$B22</f>
        <v>0</v>
      </c>
      <c r="V22" s="231">
        <f>Original!V22/Original!$B22</f>
        <v>1</v>
      </c>
      <c r="W22" s="231"/>
      <c r="X22" s="231">
        <f>Original!X22/Original!$B22</f>
        <v>0</v>
      </c>
      <c r="Y22" s="231">
        <f>Original!Y22/Original!$B22</f>
        <v>0</v>
      </c>
    </row>
    <row r="23" spans="1:32" s="54" customFormat="1" ht="10.15" customHeight="1">
      <c r="A23" s="187"/>
      <c r="B23" s="192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192"/>
    </row>
    <row r="24" spans="1:32" s="54" customFormat="1" ht="10.15" customHeight="1">
      <c r="A24" s="187" t="s">
        <v>510</v>
      </c>
      <c r="B24" s="192">
        <f>C24+D24+I24+J24</f>
        <v>1</v>
      </c>
      <c r="C24" s="231">
        <f>Original!C24/Original!$B24</f>
        <v>0</v>
      </c>
      <c r="D24" s="231">
        <f>Original!D24/Original!$B24</f>
        <v>0</v>
      </c>
      <c r="E24" s="231">
        <f>Original!E24/Original!$B24</f>
        <v>2.9414174191472486E-3</v>
      </c>
      <c r="F24" s="231">
        <f>Original!F24/Original!$B24</f>
        <v>3.5998245106482517E-3</v>
      </c>
      <c r="G24" s="231">
        <f>Original!G24/Original!$B24</f>
        <v>3.369069666851035E-2</v>
      </c>
      <c r="H24" s="231">
        <f>Original!H24/Original!$B24</f>
        <v>2.5116720255495183E-2</v>
      </c>
      <c r="I24" s="231">
        <f>Original!I24/Original!$B24</f>
        <v>6.5348658853801034E-2</v>
      </c>
      <c r="J24" s="231">
        <f>Original!J24/Original!$B24</f>
        <v>0.93465134114619897</v>
      </c>
      <c r="K24" s="231">
        <f>Original!K24/Original!$B24</f>
        <v>5.1250580606468733E-2</v>
      </c>
      <c r="L24" s="231">
        <f>Original!L24/Original!$B24</f>
        <v>2.846878069678959E-2</v>
      </c>
      <c r="M24" s="231">
        <f>Original!M24/Original!$B24</f>
        <v>0.24276473529626194</v>
      </c>
      <c r="N24" s="231">
        <f>Original!N24/Original!$B24</f>
        <v>2.9287361752544042E-2</v>
      </c>
      <c r="O24" s="231">
        <f>Original!O24/Original!$B24</f>
        <v>3.9447813944190162E-2</v>
      </c>
      <c r="P24" s="231">
        <f>Original!P24/Original!$B24</f>
        <v>9.045938949181509E-2</v>
      </c>
      <c r="Q24" s="231">
        <f>Original!Q24/Original!$B24</f>
        <v>4.0504047564518482E-2</v>
      </c>
      <c r="R24" s="231">
        <f>Original!R24/Original!$B24</f>
        <v>2.8057686843219121E-2</v>
      </c>
      <c r="S24" s="231">
        <f>Original!S24/Original!$B24</f>
        <v>4.5141299584694095E-2</v>
      </c>
      <c r="T24" s="231">
        <f>Original!T24/Original!$B24</f>
        <v>4.5832230943162522E-2</v>
      </c>
      <c r="U24" s="231">
        <f>Original!U24/Original!$B24</f>
        <v>0.11676694874974142</v>
      </c>
      <c r="V24" s="231">
        <f>Original!V24/Original!$B24</f>
        <v>9.8998072244833923E-2</v>
      </c>
      <c r="W24" s="231"/>
      <c r="X24" s="231">
        <f>Original!X24/Original!$B24</f>
        <v>0</v>
      </c>
      <c r="Y24" s="231">
        <f>Original!Y24/Original!$B24</f>
        <v>7.767239342795984E-2</v>
      </c>
    </row>
    <row r="25" spans="1:32" s="54" customFormat="1" ht="6" customHeight="1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</row>
    <row r="26" spans="1:32" s="54" customFormat="1" ht="15" customHeight="1">
      <c r="A26" s="54" t="s">
        <v>106</v>
      </c>
    </row>
    <row r="27" spans="1:32" s="54" customFormat="1" ht="9" customHeight="1">
      <c r="A27" s="187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</row>
    <row r="28" spans="1:32" s="54" customFormat="1" ht="9" customHeight="1">
      <c r="A28" s="187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</row>
    <row r="29" spans="1:32" s="54" customFormat="1" ht="9" customHeight="1">
      <c r="A29" s="187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</row>
    <row r="30" spans="1:32" ht="19.899999999999999" customHeight="1"/>
    <row r="31" spans="1:32" s="171" customFormat="1" ht="12" customHeight="1">
      <c r="A31" s="170" t="s">
        <v>511</v>
      </c>
    </row>
    <row r="32" spans="1:32" s="54" customFormat="1" ht="10.15" customHeight="1">
      <c r="A32" s="198"/>
      <c r="AE32" s="178"/>
      <c r="AF32" s="178" t="s">
        <v>485</v>
      </c>
    </row>
    <row r="33" spans="1:87" s="54" customFormat="1" ht="19.5" customHeight="1" thickBot="1">
      <c r="A33" s="397" t="s">
        <v>471</v>
      </c>
      <c r="B33" s="399" t="s">
        <v>490</v>
      </c>
      <c r="C33" s="399" t="s">
        <v>491</v>
      </c>
      <c r="D33" s="399" t="s">
        <v>492</v>
      </c>
      <c r="E33" s="399" t="s">
        <v>493</v>
      </c>
      <c r="F33" s="399" t="s">
        <v>494</v>
      </c>
      <c r="G33" s="399" t="s">
        <v>495</v>
      </c>
      <c r="H33" s="399" t="s">
        <v>512</v>
      </c>
      <c r="I33" s="399" t="s">
        <v>513</v>
      </c>
      <c r="J33" s="399" t="s">
        <v>498</v>
      </c>
      <c r="K33" s="199" t="s">
        <v>514</v>
      </c>
      <c r="L33" s="199"/>
      <c r="M33" s="199"/>
      <c r="N33" s="199"/>
      <c r="O33" s="199"/>
      <c r="P33" s="199"/>
      <c r="Q33" s="200"/>
      <c r="R33" s="199"/>
      <c r="S33" s="199"/>
      <c r="T33" s="199"/>
      <c r="U33" s="199"/>
      <c r="V33" s="199"/>
      <c r="W33" s="201"/>
      <c r="X33" s="386" t="s">
        <v>515</v>
      </c>
      <c r="Y33" s="202" t="s">
        <v>516</v>
      </c>
      <c r="Z33" s="203"/>
      <c r="AA33" s="203"/>
      <c r="AB33" s="203"/>
      <c r="AC33" s="203"/>
      <c r="AD33" s="203"/>
      <c r="AE33" s="203"/>
      <c r="AF33" s="389" t="s">
        <v>517</v>
      </c>
    </row>
    <row r="34" spans="1:87" s="54" customFormat="1" ht="21" customHeight="1" thickTop="1">
      <c r="A34" s="397"/>
      <c r="B34" s="395"/>
      <c r="C34" s="400"/>
      <c r="D34" s="400"/>
      <c r="E34" s="399"/>
      <c r="F34" s="399"/>
      <c r="G34" s="399"/>
      <c r="H34" s="399"/>
      <c r="I34" s="399"/>
      <c r="J34" s="400"/>
      <c r="K34" s="392" t="s">
        <v>499</v>
      </c>
      <c r="L34" s="392" t="s">
        <v>473</v>
      </c>
      <c r="M34" s="392" t="s">
        <v>500</v>
      </c>
      <c r="N34" s="392" t="s">
        <v>501</v>
      </c>
      <c r="O34" s="392" t="s">
        <v>502</v>
      </c>
      <c r="P34" s="392" t="s">
        <v>476</v>
      </c>
      <c r="Q34" s="392" t="s">
        <v>503</v>
      </c>
      <c r="R34" s="392" t="s">
        <v>504</v>
      </c>
      <c r="S34" s="392" t="s">
        <v>505</v>
      </c>
      <c r="T34" s="392" t="s">
        <v>506</v>
      </c>
      <c r="U34" s="392" t="s">
        <v>481</v>
      </c>
      <c r="V34" s="392" t="s">
        <v>507</v>
      </c>
      <c r="W34" s="392" t="s">
        <v>508</v>
      </c>
      <c r="X34" s="387"/>
      <c r="Y34" s="371" t="s">
        <v>518</v>
      </c>
      <c r="Z34" s="371" t="s">
        <v>519</v>
      </c>
      <c r="AA34" s="383" t="s">
        <v>520</v>
      </c>
      <c r="AB34" s="371" t="s">
        <v>521</v>
      </c>
      <c r="AC34" s="371" t="s">
        <v>522</v>
      </c>
      <c r="AD34" s="371" t="s">
        <v>523</v>
      </c>
      <c r="AE34" s="371" t="s">
        <v>524</v>
      </c>
      <c r="AF34" s="390"/>
      <c r="AH34" s="392" t="s">
        <v>499</v>
      </c>
      <c r="AI34" s="392" t="s">
        <v>473</v>
      </c>
      <c r="AJ34" s="392" t="s">
        <v>500</v>
      </c>
      <c r="AK34" s="392" t="s">
        <v>501</v>
      </c>
      <c r="AL34" s="392" t="s">
        <v>502</v>
      </c>
      <c r="AM34" s="392" t="s">
        <v>476</v>
      </c>
      <c r="AN34" s="392" t="s">
        <v>503</v>
      </c>
      <c r="AO34" s="392" t="s">
        <v>504</v>
      </c>
      <c r="AP34" s="392" t="s">
        <v>505</v>
      </c>
      <c r="AQ34" s="392" t="s">
        <v>506</v>
      </c>
      <c r="AR34" s="392" t="s">
        <v>481</v>
      </c>
      <c r="AS34" s="392" t="s">
        <v>507</v>
      </c>
      <c r="BH34" s="392" t="s">
        <v>499</v>
      </c>
      <c r="BI34" s="392" t="s">
        <v>473</v>
      </c>
      <c r="BJ34" s="392" t="s">
        <v>500</v>
      </c>
      <c r="BK34" s="392" t="s">
        <v>501</v>
      </c>
      <c r="BL34" s="392" t="s">
        <v>502</v>
      </c>
      <c r="BM34" s="392" t="s">
        <v>476</v>
      </c>
      <c r="BN34" s="392" t="s">
        <v>503</v>
      </c>
      <c r="BO34" s="392" t="s">
        <v>504</v>
      </c>
      <c r="BP34" s="392" t="s">
        <v>505</v>
      </c>
      <c r="BQ34" s="392" t="s">
        <v>506</v>
      </c>
      <c r="BR34" s="392" t="s">
        <v>481</v>
      </c>
      <c r="BS34" s="392" t="s">
        <v>507</v>
      </c>
    </row>
    <row r="35" spans="1:87" s="54" customFormat="1" ht="21" customHeight="1">
      <c r="A35" s="397"/>
      <c r="B35" s="395"/>
      <c r="C35" s="400"/>
      <c r="D35" s="400"/>
      <c r="E35" s="399"/>
      <c r="F35" s="399"/>
      <c r="G35" s="399"/>
      <c r="H35" s="399"/>
      <c r="I35" s="399"/>
      <c r="J35" s="400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87"/>
      <c r="Y35" s="395"/>
      <c r="Z35" s="372"/>
      <c r="AA35" s="384"/>
      <c r="AB35" s="372"/>
      <c r="AC35" s="374"/>
      <c r="AD35" s="374"/>
      <c r="AE35" s="374"/>
      <c r="AF35" s="390"/>
      <c r="AH35" s="393"/>
      <c r="AI35" s="393"/>
      <c r="AJ35" s="393"/>
      <c r="AK35" s="393"/>
      <c r="AL35" s="393"/>
      <c r="AM35" s="393"/>
      <c r="AN35" s="393"/>
      <c r="AO35" s="393"/>
      <c r="AP35" s="393"/>
      <c r="AQ35" s="393"/>
      <c r="AR35" s="393"/>
      <c r="AS35" s="393"/>
      <c r="BH35" s="393"/>
      <c r="BI35" s="393"/>
      <c r="BJ35" s="393"/>
      <c r="BK35" s="393"/>
      <c r="BL35" s="393"/>
      <c r="BM35" s="393"/>
      <c r="BN35" s="393"/>
      <c r="BO35" s="393"/>
      <c r="BP35" s="393"/>
      <c r="BQ35" s="393"/>
      <c r="BR35" s="393"/>
      <c r="BS35" s="393"/>
    </row>
    <row r="36" spans="1:87" s="54" customFormat="1" ht="21" customHeight="1">
      <c r="A36" s="397"/>
      <c r="B36" s="395"/>
      <c r="C36" s="400"/>
      <c r="D36" s="400"/>
      <c r="E36" s="399"/>
      <c r="F36" s="399"/>
      <c r="G36" s="399"/>
      <c r="H36" s="399"/>
      <c r="I36" s="399"/>
      <c r="J36" s="400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87"/>
      <c r="Y36" s="395"/>
      <c r="Z36" s="372"/>
      <c r="AA36" s="384"/>
      <c r="AB36" s="372"/>
      <c r="AC36" s="374"/>
      <c r="AD36" s="374"/>
      <c r="AE36" s="374"/>
      <c r="AF36" s="390"/>
      <c r="AH36" s="393"/>
      <c r="AI36" s="393"/>
      <c r="AJ36" s="393"/>
      <c r="AK36" s="393"/>
      <c r="AL36" s="393"/>
      <c r="AM36" s="393"/>
      <c r="AN36" s="393"/>
      <c r="AO36" s="393"/>
      <c r="AP36" s="393"/>
      <c r="AQ36" s="393"/>
      <c r="AR36" s="393"/>
      <c r="AS36" s="393"/>
      <c r="BH36" s="393"/>
      <c r="BI36" s="393"/>
      <c r="BJ36" s="393"/>
      <c r="BK36" s="393"/>
      <c r="BL36" s="393"/>
      <c r="BM36" s="393"/>
      <c r="BN36" s="393"/>
      <c r="BO36" s="393"/>
      <c r="BP36" s="393"/>
      <c r="BQ36" s="393"/>
      <c r="BR36" s="393"/>
      <c r="BS36" s="393"/>
    </row>
    <row r="37" spans="1:87" s="54" customFormat="1" ht="21" customHeight="1" thickBot="1">
      <c r="A37" s="398"/>
      <c r="B37" s="396"/>
      <c r="C37" s="401"/>
      <c r="D37" s="401"/>
      <c r="E37" s="402"/>
      <c r="F37" s="402"/>
      <c r="G37" s="402"/>
      <c r="H37" s="402"/>
      <c r="I37" s="402"/>
      <c r="J37" s="401"/>
      <c r="K37" s="394"/>
      <c r="L37" s="394"/>
      <c r="M37" s="394"/>
      <c r="N37" s="394"/>
      <c r="O37" s="394"/>
      <c r="P37" s="394"/>
      <c r="Q37" s="394"/>
      <c r="R37" s="394"/>
      <c r="S37" s="394"/>
      <c r="T37" s="394"/>
      <c r="U37" s="394"/>
      <c r="V37" s="394"/>
      <c r="W37" s="394"/>
      <c r="X37" s="388"/>
      <c r="Y37" s="396"/>
      <c r="Z37" s="373"/>
      <c r="AA37" s="385"/>
      <c r="AB37" s="373"/>
      <c r="AC37" s="375"/>
      <c r="AD37" s="375"/>
      <c r="AE37" s="375"/>
      <c r="AF37" s="391"/>
      <c r="AH37" s="394"/>
      <c r="AI37" s="394"/>
      <c r="AJ37" s="394"/>
      <c r="AK37" s="394"/>
      <c r="AL37" s="394"/>
      <c r="AM37" s="394"/>
      <c r="AN37" s="394"/>
      <c r="AO37" s="394"/>
      <c r="AP37" s="394"/>
      <c r="AQ37" s="394"/>
      <c r="AR37" s="394"/>
      <c r="AS37" s="394"/>
      <c r="BH37" s="394"/>
      <c r="BI37" s="394"/>
      <c r="BJ37" s="394"/>
      <c r="BK37" s="394"/>
      <c r="BL37" s="394"/>
      <c r="BM37" s="394"/>
      <c r="BN37" s="394"/>
      <c r="BO37" s="394"/>
      <c r="BP37" s="394"/>
      <c r="BQ37" s="394"/>
      <c r="BR37" s="394"/>
      <c r="BS37" s="394"/>
    </row>
    <row r="38" spans="1:87" s="54" customFormat="1" ht="6.75" customHeight="1" thickTop="1">
      <c r="A38" s="187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204"/>
      <c r="Y38" s="190"/>
      <c r="Z38" s="190"/>
      <c r="AA38" s="190"/>
      <c r="AB38" s="190"/>
      <c r="AC38" s="190"/>
      <c r="AD38" s="190"/>
      <c r="AE38" s="190"/>
      <c r="AF38" s="190"/>
    </row>
    <row r="39" spans="1:87" s="54" customFormat="1" ht="10.15" customHeight="1">
      <c r="A39" s="205" t="s">
        <v>472</v>
      </c>
      <c r="B39" s="192">
        <f>B11</f>
        <v>1</v>
      </c>
      <c r="C39" s="192"/>
      <c r="D39" s="192"/>
      <c r="E39" s="192"/>
      <c r="F39" s="192"/>
      <c r="G39" s="192"/>
      <c r="H39" s="192"/>
      <c r="I39" s="192"/>
      <c r="J39" s="192"/>
      <c r="K39" s="231">
        <f>Original!K39/Original!K$69</f>
        <v>5.8471073601244594E-2</v>
      </c>
      <c r="L39" s="231">
        <f>Original!L39/Original!L$69</f>
        <v>4.52456954376503E-6</v>
      </c>
      <c r="M39" s="231">
        <f>Original!M39/Original!M$69</f>
        <v>0.10223283641642543</v>
      </c>
      <c r="N39" s="231">
        <f>Original!N39/Original!N$69</f>
        <v>1.5173472372185485E-4</v>
      </c>
      <c r="O39" s="231">
        <f>Original!O39/Original!O$69</f>
        <v>1.7763236304920319E-3</v>
      </c>
      <c r="P39" s="231">
        <f>Original!P39/Original!P$69</f>
        <v>1.2023771297731446E-2</v>
      </c>
      <c r="Q39" s="231">
        <f>Original!Q39/Original!Q$69</f>
        <v>0</v>
      </c>
      <c r="R39" s="231">
        <f>Original!R39/Original!R$69</f>
        <v>0</v>
      </c>
      <c r="S39" s="231">
        <f>Original!S39/Original!S$69</f>
        <v>0</v>
      </c>
      <c r="T39" s="231">
        <f>Original!T39/Original!T$69</f>
        <v>0</v>
      </c>
      <c r="U39" s="231">
        <f>Original!U39/Original!U$69</f>
        <v>6.1515974683195212E-3</v>
      </c>
      <c r="V39" s="231">
        <f>Original!V39/Original!V$69</f>
        <v>2.3960237585630363E-3</v>
      </c>
      <c r="W39" s="231">
        <f>Original!W39/Original!W$69</f>
        <v>3.4928532182631568E-2</v>
      </c>
      <c r="X39" s="191"/>
      <c r="Y39" s="232">
        <f>Original!Y39/Original!Y$51</f>
        <v>0.19302998524818119</v>
      </c>
      <c r="Z39" s="232">
        <f>Original!Z39/Original!Z$51</f>
        <v>1.5011055969048508E-4</v>
      </c>
      <c r="AA39" s="232" t="e">
        <f>Original!AA39/Original!AA$51</f>
        <v>#DIV/0!</v>
      </c>
      <c r="AB39" s="232">
        <f>Original!AB39/Original!AB$51</f>
        <v>4.4265103629466285E-2</v>
      </c>
      <c r="AC39" s="232">
        <f>Original!AC39/Original!AC$51</f>
        <v>1.7703159827554878E-2</v>
      </c>
      <c r="AD39" s="232">
        <f>Original!AD39/Original!AD$51</f>
        <v>7.9520632859082591E-2</v>
      </c>
      <c r="AE39" s="248">
        <f>Original!AE39-Original!AB39</f>
        <v>261529</v>
      </c>
      <c r="AF39" s="232">
        <f>Original!AF39/Original!AF$51</f>
        <v>6.047510676332149E-2</v>
      </c>
      <c r="AH39" s="54">
        <f>Original!K39/Original!K$71</f>
        <v>4.9552231176297062E-2</v>
      </c>
      <c r="AI39" s="54">
        <f>Original!L39/Original!L$71</f>
        <v>4.2137109942040408E-6</v>
      </c>
      <c r="AJ39" s="54">
        <f>Original!M39/Original!M$71</f>
        <v>5.9572443265701623E-2</v>
      </c>
      <c r="AK39" s="54">
        <f>Original!N39/Original!N$71</f>
        <v>1.2945688147753453E-4</v>
      </c>
      <c r="AL39" s="54">
        <f>Original!O39/Original!O$71</f>
        <v>1.5923566878980893E-3</v>
      </c>
      <c r="AM39" s="54">
        <f>Original!P39/Original!P$71</f>
        <v>0.11999687360111413</v>
      </c>
      <c r="AN39" s="54">
        <f>Original!Q39/Original!Q$71</f>
        <v>0</v>
      </c>
      <c r="AO39" s="54">
        <f>Original!R39/Original!R$71</f>
        <v>0</v>
      </c>
      <c r="AP39" s="54">
        <f>Original!S39/Original!S$71</f>
        <v>0</v>
      </c>
      <c r="AQ39" s="54">
        <f>Original!T39/Original!T$71</f>
        <v>0</v>
      </c>
      <c r="AR39" s="54">
        <f>Original!U39/Original!U$71</f>
        <v>5.2475865242467383E-3</v>
      </c>
      <c r="AS39" s="54">
        <f>Original!V39/Original!V$71</f>
        <v>2.5135110603358673E-3</v>
      </c>
      <c r="AU39" s="54">
        <v>1</v>
      </c>
      <c r="BH39" s="256">
        <f>AU39-AH39-'Matriz consumo'!C25</f>
        <v>0.72393393319836552</v>
      </c>
      <c r="BI39" s="256">
        <f>AV39-AI39-'Matriz consumo'!D25</f>
        <v>-4.2137109942040408E-6</v>
      </c>
      <c r="BJ39" s="256">
        <f>AW39-AJ39-'Matriz consumo'!E25</f>
        <v>-5.9572443265701623E-2</v>
      </c>
      <c r="BK39" s="256">
        <f>AX39-AK39-'Matriz consumo'!F25</f>
        <v>-1.2945688147753453E-4</v>
      </c>
      <c r="BL39" s="256">
        <f>AY39-AL39-'Matriz consumo'!G25</f>
        <v>-1.5923566878980893E-3</v>
      </c>
      <c r="BM39" s="256">
        <f>AZ39-AM39-'Matriz consumo'!H25</f>
        <v>-0.11999687360111413</v>
      </c>
      <c r="BN39" s="256">
        <f>BA39-AN39-'Matriz consumo'!I25</f>
        <v>0</v>
      </c>
      <c r="BO39" s="256">
        <f>BB39-AO39-'Matriz consumo'!J25</f>
        <v>0</v>
      </c>
      <c r="BP39" s="256">
        <f>BC39-AP39-'Matriz consumo'!K25</f>
        <v>0</v>
      </c>
      <c r="BQ39" s="256">
        <f>BD39-AQ39-'Matriz consumo'!L25</f>
        <v>0</v>
      </c>
      <c r="BR39" s="256">
        <f>BE39-AR39-'Matriz consumo'!M25</f>
        <v>-5.2475865242467383E-3</v>
      </c>
      <c r="BS39" s="256">
        <f>BF39-AS39-'Matriz consumo'!N25</f>
        <v>-2.5135110603358673E-3</v>
      </c>
      <c r="BU39" s="54">
        <f t="array" ref="BU39:CF50">MINVERSE(BH39:BS50)</f>
        <v>1.5055031809370432</v>
      </c>
      <c r="BV39" s="54">
        <v>0.11800759975262326</v>
      </c>
      <c r="BW39" s="54">
        <v>0.29490510388745939</v>
      </c>
      <c r="BX39" s="54">
        <v>0.10110531133591477</v>
      </c>
      <c r="BY39" s="54">
        <v>0.12262063005700224</v>
      </c>
      <c r="BZ39" s="54">
        <v>1.5743663167562199</v>
      </c>
      <c r="CA39" s="54">
        <v>0.19478712136327153</v>
      </c>
      <c r="CB39" s="54">
        <v>7.7986765369884525E-2</v>
      </c>
      <c r="CC39" s="54">
        <v>5.3593136802164723E-2</v>
      </c>
      <c r="CD39" s="54">
        <v>4.3687573573223129E-2</v>
      </c>
      <c r="CE39" s="54">
        <v>0.12079642467030589</v>
      </c>
      <c r="CF39" s="54">
        <v>4.5494984778740526E-2</v>
      </c>
      <c r="CH39" s="192">
        <f t="array" ref="CH39:CH50">MMULT(BU39:CF50,AE39:AE50)</f>
        <v>938989</v>
      </c>
      <c r="CI39" s="192">
        <f>Original!AF39</f>
        <v>938989</v>
      </c>
    </row>
    <row r="40" spans="1:87" s="54" customFormat="1" ht="10.15" customHeight="1">
      <c r="A40" s="205" t="s">
        <v>473</v>
      </c>
      <c r="B40" s="192">
        <f t="shared" ref="B40:B50" si="1">B12</f>
        <v>1</v>
      </c>
      <c r="C40" s="192"/>
      <c r="D40" s="192"/>
      <c r="E40" s="192"/>
      <c r="F40" s="192"/>
      <c r="G40" s="192"/>
      <c r="H40" s="192"/>
      <c r="I40" s="192"/>
      <c r="J40" s="192"/>
      <c r="K40" s="231">
        <f>Original!K40/Original!K$69</f>
        <v>1.0983197216249603E-3</v>
      </c>
      <c r="L40" s="231">
        <f>Original!L40/Original!L$69</f>
        <v>3.6470292807518026E-2</v>
      </c>
      <c r="M40" s="231">
        <f>Original!M40/Original!M$69</f>
        <v>5.2587483976127614E-2</v>
      </c>
      <c r="N40" s="231">
        <f>Original!N40/Original!N$69</f>
        <v>2.8266639691604672E-2</v>
      </c>
      <c r="O40" s="231">
        <f>Original!O40/Original!O$69</f>
        <v>1.5655484644106703E-2</v>
      </c>
      <c r="P40" s="231">
        <f>Original!P40/Original!P$69</f>
        <v>8.6148527180572297E-5</v>
      </c>
      <c r="Q40" s="231">
        <f>Original!Q40/Original!Q$69</f>
        <v>9.5404523128441515E-6</v>
      </c>
      <c r="R40" s="231">
        <f>Original!R40/Original!R$69</f>
        <v>0</v>
      </c>
      <c r="S40" s="231">
        <f>Original!S40/Original!S$69</f>
        <v>0</v>
      </c>
      <c r="T40" s="231">
        <f>Original!T40/Original!T$69</f>
        <v>7.7427768042707523E-4</v>
      </c>
      <c r="U40" s="231">
        <f>Original!U40/Original!U$69</f>
        <v>4.743453620330663E-5</v>
      </c>
      <c r="V40" s="231">
        <f>Original!V40/Original!V$69</f>
        <v>9.6933896287236597E-5</v>
      </c>
      <c r="W40" s="231">
        <f>Original!W40/Original!W$69</f>
        <v>1.7929462801510785E-2</v>
      </c>
      <c r="X40" s="191"/>
      <c r="Y40" s="232">
        <f>Original!Y40/Original!Y$51</f>
        <v>0.20215981962367288</v>
      </c>
      <c r="Z40" s="232">
        <f>Original!Z40/Original!Z$51</f>
        <v>0</v>
      </c>
      <c r="AA40" s="232" t="e">
        <f>Original!AA40/Original!AA$51</f>
        <v>#DIV/0!</v>
      </c>
      <c r="AB40" s="232">
        <f>Original!AB40/Original!AB$51</f>
        <v>0</v>
      </c>
      <c r="AC40" s="232">
        <f>Original!AC40/Original!AC$51</f>
        <v>8.2961244283767926E-3</v>
      </c>
      <c r="AD40" s="232">
        <f>Original!AD40/Original!AD$51</f>
        <v>0.81176574768286203</v>
      </c>
      <c r="AE40" s="248">
        <f>Original!AE40-Original!AB40</f>
        <v>236068</v>
      </c>
      <c r="AF40" s="232">
        <f>Original!AF40/Original!AF$51</f>
        <v>3.0569011084527802E-2</v>
      </c>
      <c r="AH40" s="54">
        <f>Original!K40/Original!K$71</f>
        <v>9.3078832659381524E-4</v>
      </c>
      <c r="AI40" s="54">
        <f>Original!L40/Original!L$71</f>
        <v>3.3964617468781669E-2</v>
      </c>
      <c r="AJ40" s="54">
        <f>Original!M40/Original!M$71</f>
        <v>3.0643431361848866E-2</v>
      </c>
      <c r="AK40" s="54">
        <f>Original!N40/Original!N$71</f>
        <v>2.4116503688583028E-2</v>
      </c>
      <c r="AL40" s="54">
        <f>Original!O40/Original!O$71</f>
        <v>1.4034106875234171E-2</v>
      </c>
      <c r="AM40" s="54">
        <f>Original!P40/Original!P$71</f>
        <v>8.5975969361290917E-4</v>
      </c>
      <c r="AN40" s="54">
        <f>Original!Q40/Original!Q$71</f>
        <v>1.0558026915929951E-5</v>
      </c>
      <c r="AO40" s="54">
        <f>Original!R40/Original!R$71</f>
        <v>0</v>
      </c>
      <c r="AP40" s="54">
        <f>Original!S40/Original!S$71</f>
        <v>0</v>
      </c>
      <c r="AQ40" s="54">
        <f>Original!T40/Original!T$71</f>
        <v>6.9479909461751376E-4</v>
      </c>
      <c r="AR40" s="54">
        <f>Original!U40/Original!U$71</f>
        <v>4.0463771279944366E-5</v>
      </c>
      <c r="AS40" s="54">
        <f>Original!V40/Original!V$71</f>
        <v>1.0168698017649858E-4</v>
      </c>
      <c r="AV40" s="54">
        <v>1</v>
      </c>
      <c r="BH40" s="256">
        <f>AU40-AH40-'Matriz consumo'!C26</f>
        <v>-9.3078832659381524E-4</v>
      </c>
      <c r="BI40" s="256">
        <f>AV40-AI40-'Matriz consumo'!D26</f>
        <v>0.96603538253121835</v>
      </c>
      <c r="BJ40" s="256">
        <f>AW40-AJ40-'Matriz consumo'!E26</f>
        <v>-3.0643431361848866E-2</v>
      </c>
      <c r="BK40" s="256">
        <f>AX40-AK40-'Matriz consumo'!F26</f>
        <v>-2.4116503688583028E-2</v>
      </c>
      <c r="BL40" s="256">
        <f>AY40-AL40-'Matriz consumo'!G26</f>
        <v>-1.4034106875234171E-2</v>
      </c>
      <c r="BM40" s="256">
        <f>AZ40-AM40-'Matriz consumo'!H26</f>
        <v>-8.5975969361290917E-4</v>
      </c>
      <c r="BN40" s="256">
        <f>BA40-AN40-'Matriz consumo'!I26</f>
        <v>-1.0558026915929951E-5</v>
      </c>
      <c r="BO40" s="256">
        <f>BB40-AO40-'Matriz consumo'!J26</f>
        <v>0</v>
      </c>
      <c r="BP40" s="256">
        <f>BC40-AP40-'Matriz consumo'!K26</f>
        <v>0</v>
      </c>
      <c r="BQ40" s="256">
        <f>BD40-AQ40-'Matriz consumo'!L26</f>
        <v>-6.9479909461751376E-4</v>
      </c>
      <c r="BR40" s="256">
        <f>BE40-AR40-'Matriz consumo'!M26</f>
        <v>-4.0463771279944366E-5</v>
      </c>
      <c r="BS40" s="256">
        <f>BF40-AS40-'Matriz consumo'!N26</f>
        <v>-1.0168698017649858E-4</v>
      </c>
      <c r="BU40" s="54">
        <v>5.0902048065624504E-2</v>
      </c>
      <c r="BV40" s="54">
        <v>1.080461028256289</v>
      </c>
      <c r="BW40" s="54">
        <v>0.11364538387999799</v>
      </c>
      <c r="BX40" s="54">
        <v>0.10357995902087902</v>
      </c>
      <c r="BY40" s="54">
        <v>6.230523653797139E-2</v>
      </c>
      <c r="BZ40" s="54">
        <v>0.51176701094940813</v>
      </c>
      <c r="CA40" s="54">
        <v>7.3538426969730841E-2</v>
      </c>
      <c r="CB40" s="54">
        <v>2.9403130502201894E-2</v>
      </c>
      <c r="CC40" s="54">
        <v>2.0687801283670523E-2</v>
      </c>
      <c r="CD40" s="54">
        <v>2.1492782624322609E-2</v>
      </c>
      <c r="CE40" s="54">
        <v>4.3434428335880959E-2</v>
      </c>
      <c r="CF40" s="54">
        <v>1.7229233050757724E-2</v>
      </c>
      <c r="CH40" s="192">
        <v>474640.99999999994</v>
      </c>
      <c r="CI40" s="192">
        <f>Original!AF40</f>
        <v>474641</v>
      </c>
    </row>
    <row r="41" spans="1:87" s="54" customFormat="1" ht="10.15" customHeight="1">
      <c r="A41" s="205" t="s">
        <v>474</v>
      </c>
      <c r="B41" s="192">
        <f t="shared" si="1"/>
        <v>1</v>
      </c>
      <c r="C41" s="192"/>
      <c r="D41" s="192"/>
      <c r="E41" s="192"/>
      <c r="F41" s="192"/>
      <c r="G41" s="192"/>
      <c r="H41" s="192"/>
      <c r="I41" s="192"/>
      <c r="J41" s="192"/>
      <c r="K41" s="231">
        <f>Original!K41/Original!K$69</f>
        <v>0.33293287808776756</v>
      </c>
      <c r="L41" s="231">
        <f>Original!L41/Original!L$69</f>
        <v>0.26667134205519522</v>
      </c>
      <c r="M41" s="231">
        <f>Original!M41/Original!M$69</f>
        <v>0.48223074588472997</v>
      </c>
      <c r="N41" s="231">
        <f>Original!N41/Original!N$69</f>
        <v>8.6675712108650854E-2</v>
      </c>
      <c r="O41" s="231">
        <f>Original!O41/Original!O$69</f>
        <v>0.37956346193720503</v>
      </c>
      <c r="P41" s="231">
        <f>Original!P41/Original!P$69</f>
        <v>0.10230457989777517</v>
      </c>
      <c r="Q41" s="231">
        <f>Original!Q41/Original!Q$69</f>
        <v>0.26813123210171397</v>
      </c>
      <c r="R41" s="231">
        <f>Original!R41/Original!R$69</f>
        <v>5.6729286029087701E-2</v>
      </c>
      <c r="S41" s="231">
        <f>Original!S41/Original!S$69</f>
        <v>1.3656668611776522E-2</v>
      </c>
      <c r="T41" s="231">
        <f>Original!T41/Original!T$69</f>
        <v>1.5867774169478283E-2</v>
      </c>
      <c r="U41" s="231">
        <f>Original!U41/Original!U$69</f>
        <v>0.14423739330676633</v>
      </c>
      <c r="V41" s="231">
        <f>Original!V41/Original!V$69</f>
        <v>5.5793589351583794E-2</v>
      </c>
      <c r="W41" s="231">
        <f>Original!W41/Original!W$69</f>
        <v>0.23880486080209684</v>
      </c>
      <c r="X41" s="191"/>
      <c r="Y41" s="232">
        <f>Original!Y41/Original!Y$51</f>
        <v>0.48837385757266688</v>
      </c>
      <c r="Z41" s="232">
        <f>Original!Z41/Original!Z$51</f>
        <v>6.3411921650119701E-3</v>
      </c>
      <c r="AA41" s="232" t="e">
        <f>Original!AA41/Original!AA$51</f>
        <v>#DIV/0!</v>
      </c>
      <c r="AB41" s="232">
        <f>Original!AB41/Original!AB$51</f>
        <v>0.44718068913158032</v>
      </c>
      <c r="AC41" s="232">
        <f>Original!AC41/Original!AC$51</f>
        <v>0.4152870871676293</v>
      </c>
      <c r="AD41" s="232">
        <f>Original!AD41/Original!AD$51</f>
        <v>6.3994332605230533E-2</v>
      </c>
      <c r="AE41" s="248">
        <f>Original!AE41-Original!AB41</f>
        <v>1142372</v>
      </c>
      <c r="AF41" s="232">
        <f>Original!AF41/Original!AF$51</f>
        <v>0.41661087091099119</v>
      </c>
      <c r="AH41" s="54">
        <f>Original!K41/Original!K$71</f>
        <v>0.28214920515575792</v>
      </c>
      <c r="AI41" s="54">
        <f>Original!L41/Original!L$71</f>
        <v>0.24834980543189483</v>
      </c>
      <c r="AJ41" s="54">
        <f>Original!M41/Original!M$71</f>
        <v>0.28100231547111287</v>
      </c>
      <c r="AK41" s="54">
        <f>Original!N41/Original!N$71</f>
        <v>7.3949898310681508E-2</v>
      </c>
      <c r="AL41" s="54">
        <f>Original!O41/Original!O$71</f>
        <v>0.34025354767703259</v>
      </c>
      <c r="AM41" s="54">
        <f>Original!P41/Original!P$71</f>
        <v>1.0209966106993897</v>
      </c>
      <c r="AN41" s="54">
        <f>Original!Q41/Original!Q$71</f>
        <v>0.29672982712990598</v>
      </c>
      <c r="AO41" s="54">
        <f>Original!R41/Original!R$71</f>
        <v>4.6147727251508286E-2</v>
      </c>
      <c r="AP41" s="54">
        <f>Original!S41/Original!S$71</f>
        <v>1.1963863432973867E-2</v>
      </c>
      <c r="AQ41" s="54">
        <f>Original!T41/Original!T$71</f>
        <v>1.4238968015283059E-2</v>
      </c>
      <c r="AR41" s="54">
        <f>Original!U41/Original!U$71</f>
        <v>0.12304091828294339</v>
      </c>
      <c r="AS41" s="54">
        <f>Original!V41/Original!V$71</f>
        <v>5.8529387878502488E-2</v>
      </c>
      <c r="AW41" s="54">
        <v>1</v>
      </c>
      <c r="BH41" s="256">
        <f>AU41-AH41-'Matriz consumo'!C27</f>
        <v>-0.28214920515575792</v>
      </c>
      <c r="BI41" s="256">
        <f>AV41-AI41-'Matriz consumo'!D27</f>
        <v>-0.24834980543189483</v>
      </c>
      <c r="BJ41" s="256">
        <f>AW41-AJ41-'Matriz consumo'!E27</f>
        <v>0.38682620919132893</v>
      </c>
      <c r="BK41" s="256">
        <f>AX41-AK41-'Matriz consumo'!F27</f>
        <v>-7.3949898310681508E-2</v>
      </c>
      <c r="BL41" s="256">
        <f>AY41-AL41-'Matriz consumo'!G27</f>
        <v>-0.34025354767703259</v>
      </c>
      <c r="BM41" s="256">
        <f>AZ41-AM41-'Matriz consumo'!H27</f>
        <v>-1.0209966106993897</v>
      </c>
      <c r="BN41" s="256">
        <f>BA41-AN41-'Matriz consumo'!I27</f>
        <v>-0.29672982712990598</v>
      </c>
      <c r="BO41" s="256">
        <f>BB41-AO41-'Matriz consumo'!J27</f>
        <v>-4.6147727251508286E-2</v>
      </c>
      <c r="BP41" s="256">
        <f>BC41-AP41-'Matriz consumo'!K27</f>
        <v>-1.1963863432973867E-2</v>
      </c>
      <c r="BQ41" s="256">
        <f>BD41-AQ41-'Matriz consumo'!L27</f>
        <v>-1.4238968015283059E-2</v>
      </c>
      <c r="BR41" s="256">
        <f>BE41-AR41-'Matriz consumo'!M27</f>
        <v>-0.12304091828294339</v>
      </c>
      <c r="BS41" s="256">
        <f>BF41-AS41-'Matriz consumo'!N27</f>
        <v>-5.8529387878502488E-2</v>
      </c>
      <c r="BU41" s="54">
        <v>1.4312586198891055</v>
      </c>
      <c r="BV41" s="54">
        <v>1.3054817390612694</v>
      </c>
      <c r="BW41" s="54">
        <v>3.4224756554709495</v>
      </c>
      <c r="BX41" s="54">
        <v>1.1011721987315366</v>
      </c>
      <c r="BY41" s="54">
        <v>1.381125398333034</v>
      </c>
      <c r="BZ41" s="54">
        <v>13.741392272945612</v>
      </c>
      <c r="CA41" s="54">
        <v>2.1192819230253135</v>
      </c>
      <c r="CB41" s="54">
        <v>0.79384157903821673</v>
      </c>
      <c r="CC41" s="54">
        <v>0.55152019890938619</v>
      </c>
      <c r="CD41" s="54">
        <v>0.4789293120247628</v>
      </c>
      <c r="CE41" s="54">
        <v>1.1846347194782307</v>
      </c>
      <c r="CF41" s="54">
        <v>0.44829910614706048</v>
      </c>
      <c r="CH41" s="192">
        <v>6468661.9999999991</v>
      </c>
      <c r="CI41" s="192">
        <f>Original!AF41</f>
        <v>6468662</v>
      </c>
    </row>
    <row r="42" spans="1:87" s="54" customFormat="1" ht="10.15" customHeight="1">
      <c r="A42" s="205" t="s">
        <v>509</v>
      </c>
      <c r="B42" s="192">
        <f t="shared" si="1"/>
        <v>1</v>
      </c>
      <c r="C42" s="192"/>
      <c r="D42" s="192"/>
      <c r="E42" s="192"/>
      <c r="F42" s="192"/>
      <c r="G42" s="192"/>
      <c r="H42" s="192"/>
      <c r="I42" s="192"/>
      <c r="J42" s="192"/>
      <c r="K42" s="231">
        <f>Original!K42/Original!K$69</f>
        <v>2.3951915210722818E-2</v>
      </c>
      <c r="L42" s="231">
        <f>Original!L42/Original!L$69</f>
        <v>9.4224160748906747E-3</v>
      </c>
      <c r="M42" s="231">
        <f>Original!M42/Original!M$69</f>
        <v>1.5270962620868812E-2</v>
      </c>
      <c r="N42" s="231">
        <f>Original!N42/Original!N$69</f>
        <v>0.31372363609175336</v>
      </c>
      <c r="O42" s="231">
        <f>Original!O42/Original!O$69</f>
        <v>1.7959154352401058E-3</v>
      </c>
      <c r="P42" s="231">
        <f>Original!P42/Original!P$69</f>
        <v>2.5287796598343529E-2</v>
      </c>
      <c r="Q42" s="231">
        <f>Original!Q42/Original!Q$69</f>
        <v>8.3033736629453594E-3</v>
      </c>
      <c r="R42" s="231">
        <f>Original!R42/Original!R$69</f>
        <v>1.0177941824592331E-2</v>
      </c>
      <c r="S42" s="231">
        <f>Original!S42/Original!S$69</f>
        <v>5.2032877587911593E-3</v>
      </c>
      <c r="T42" s="231">
        <f>Original!T42/Original!T$69</f>
        <v>2.3551531622427917E-3</v>
      </c>
      <c r="U42" s="231">
        <f>Original!U42/Original!U$69</f>
        <v>2.4467395650914908E-2</v>
      </c>
      <c r="V42" s="231">
        <f>Original!V42/Original!V$69</f>
        <v>1.761139266034753E-2</v>
      </c>
      <c r="W42" s="231">
        <f>Original!W42/Original!W$69</f>
        <v>2.6038840994336548E-2</v>
      </c>
      <c r="X42" s="191"/>
      <c r="Y42" s="232">
        <f>Original!Y42/Original!Y$51</f>
        <v>1.5973815721269694E-6</v>
      </c>
      <c r="Z42" s="232">
        <f>Original!Z42/Original!Z$51</f>
        <v>0</v>
      </c>
      <c r="AA42" s="232" t="e">
        <f>Original!AA42/Original!AA$51</f>
        <v>#DIV/0!</v>
      </c>
      <c r="AB42" s="232">
        <f>Original!AB42/Original!AB$51</f>
        <v>3.8829520225165268E-2</v>
      </c>
      <c r="AC42" s="232">
        <f>Original!AC42/Original!AC$51</f>
        <v>0</v>
      </c>
      <c r="AD42" s="232">
        <f>Original!AD42/Original!AD$51</f>
        <v>1.7710608654584097E-3</v>
      </c>
      <c r="AE42" s="248">
        <f>Original!AE42-Original!AB42</f>
        <v>-58</v>
      </c>
      <c r="AF42" s="232">
        <f>Original!AF42/Original!AF$51</f>
        <v>3.4327335042714346E-2</v>
      </c>
      <c r="AH42" s="54">
        <f>Original!K42/Original!K$71</f>
        <v>2.0298427351119128E-2</v>
      </c>
      <c r="AI42" s="54">
        <f>Original!L42/Original!L$71</f>
        <v>8.7750531454299143E-3</v>
      </c>
      <c r="AJ42" s="54">
        <f>Original!M42/Original!M$71</f>
        <v>8.898594485227394E-3</v>
      </c>
      <c r="AK42" s="54">
        <f>Original!N42/Original!N$71</f>
        <v>0.26766242148158709</v>
      </c>
      <c r="AL42" s="54">
        <f>Original!O42/Original!O$71</f>
        <v>1.6099194454852004E-3</v>
      </c>
      <c r="AM42" s="54">
        <f>Original!P42/Original!P$71</f>
        <v>0.25237144460944883</v>
      </c>
      <c r="AN42" s="54">
        <f>Original!Q42/Original!Q$71</f>
        <v>9.1890027591643667E-3</v>
      </c>
      <c r="AO42" s="54">
        <f>Original!R42/Original!R$71</f>
        <v>8.27947813519413E-3</v>
      </c>
      <c r="AP42" s="54">
        <f>Original!S42/Original!S$71</f>
        <v>4.5583169598888106E-3</v>
      </c>
      <c r="AQ42" s="54">
        <f>Original!T42/Original!T$71</f>
        <v>2.1133997868946516E-3</v>
      </c>
      <c r="AR42" s="54">
        <f>Original!U42/Original!U$71</f>
        <v>2.0871777836957352E-2</v>
      </c>
      <c r="AS42" s="54">
        <f>Original!V42/Original!V$71</f>
        <v>1.8474954633275118E-2</v>
      </c>
      <c r="AX42" s="54">
        <v>1</v>
      </c>
      <c r="BH42" s="256">
        <f>AU42-AH42-'Matriz consumo'!C28</f>
        <v>-2.0298427351119128E-2</v>
      </c>
      <c r="BI42" s="256">
        <f>AV42-AI42-'Matriz consumo'!D28</f>
        <v>-8.7750531454299143E-3</v>
      </c>
      <c r="BJ42" s="256">
        <f>AW42-AJ42-'Matriz consumo'!E28</f>
        <v>-8.898594485227394E-3</v>
      </c>
      <c r="BK42" s="256">
        <f>AX42-AK42-'Matriz consumo'!F28</f>
        <v>0.38228617100315959</v>
      </c>
      <c r="BL42" s="256">
        <f>AY42-AL42-'Matriz consumo'!G28</f>
        <v>-1.6099194454852004E-3</v>
      </c>
      <c r="BM42" s="256">
        <f>AZ42-AM42-'Matriz consumo'!H28</f>
        <v>-0.25237144460944883</v>
      </c>
      <c r="BN42" s="256">
        <f>BA42-AN42-'Matriz consumo'!I28</f>
        <v>-9.1890027591643667E-3</v>
      </c>
      <c r="BO42" s="256">
        <f>BB42-AO42-'Matriz consumo'!J28</f>
        <v>-8.27947813519413E-3</v>
      </c>
      <c r="BP42" s="256">
        <f>BC42-AP42-'Matriz consumo'!K28</f>
        <v>-4.5583169598888106E-3</v>
      </c>
      <c r="BQ42" s="256">
        <f>BD42-AQ42-'Matriz consumo'!L28</f>
        <v>-2.1133997868946516E-3</v>
      </c>
      <c r="BR42" s="256">
        <f>BE42-AR42-'Matriz consumo'!M28</f>
        <v>-2.0871777836957352E-2</v>
      </c>
      <c r="BS42" s="256">
        <f>BF42-AS42-'Matriz consumo'!N28</f>
        <v>-1.8474954633275118E-2</v>
      </c>
      <c r="BU42" s="54">
        <v>0.15323051632738227</v>
      </c>
      <c r="BV42" s="54">
        <v>0.12856426724074224</v>
      </c>
      <c r="BW42" s="54">
        <v>0.17542417276759742</v>
      </c>
      <c r="BX42" s="54">
        <v>2.7131232488080133</v>
      </c>
      <c r="BY42" s="54">
        <v>8.479800261015448E-2</v>
      </c>
      <c r="BZ42" s="54">
        <v>2.5945323824277873</v>
      </c>
      <c r="CA42" s="54">
        <v>0.2160947561291173</v>
      </c>
      <c r="CB42" s="54">
        <v>0.13906996734400526</v>
      </c>
      <c r="CC42" s="54">
        <v>0.10872922140216121</v>
      </c>
      <c r="CD42" s="54">
        <v>7.9265281008105565E-2</v>
      </c>
      <c r="CE42" s="54">
        <v>0.2037224409779719</v>
      </c>
      <c r="CF42" s="54">
        <v>9.6737230978050356E-2</v>
      </c>
      <c r="CH42" s="192">
        <v>532995.99999999977</v>
      </c>
      <c r="CI42" s="192">
        <f>Original!AF42</f>
        <v>532996</v>
      </c>
    </row>
    <row r="43" spans="1:87" s="54" customFormat="1" ht="10.15" customHeight="1">
      <c r="A43" s="205" t="s">
        <v>475</v>
      </c>
      <c r="B43" s="192">
        <f t="shared" si="1"/>
        <v>1</v>
      </c>
      <c r="C43" s="192"/>
      <c r="D43" s="192"/>
      <c r="E43" s="192"/>
      <c r="F43" s="192"/>
      <c r="G43" s="192"/>
      <c r="H43" s="192"/>
      <c r="I43" s="192"/>
      <c r="J43" s="192"/>
      <c r="K43" s="231">
        <f>Original!K43/Original!K$69</f>
        <v>4.3480391725656323E-4</v>
      </c>
      <c r="L43" s="231">
        <f>Original!L43/Original!L$69</f>
        <v>1.5926484794052904E-2</v>
      </c>
      <c r="M43" s="231">
        <f>Original!M43/Original!M$69</f>
        <v>9.2402562121688043E-4</v>
      </c>
      <c r="N43" s="231">
        <f>Original!N43/Original!N$69</f>
        <v>1.339223865892893E-2</v>
      </c>
      <c r="O43" s="231">
        <f>Original!O43/Original!O$69</f>
        <v>0.10526676691140097</v>
      </c>
      <c r="P43" s="231">
        <f>Original!P43/Original!P$69</f>
        <v>9.1203523403564552E-4</v>
      </c>
      <c r="Q43" s="231">
        <f>Original!Q43/Original!Q$69</f>
        <v>3.3518789125792452E-3</v>
      </c>
      <c r="R43" s="231">
        <f>Original!R43/Original!R$69</f>
        <v>1.1651608638166593E-2</v>
      </c>
      <c r="S43" s="231">
        <f>Original!S43/Original!S$69</f>
        <v>1.6493009731731779E-3</v>
      </c>
      <c r="T43" s="231">
        <f>Original!T43/Original!T$69</f>
        <v>2.9144317771429293E-3</v>
      </c>
      <c r="U43" s="231">
        <f>Original!U43/Original!U$69</f>
        <v>3.2509204230498751E-3</v>
      </c>
      <c r="V43" s="231">
        <f>Original!V43/Original!V$69</f>
        <v>1.5711097955280296E-2</v>
      </c>
      <c r="W43" s="231">
        <f>Original!W43/Original!W$69</f>
        <v>9.2568884622873902E-3</v>
      </c>
      <c r="X43" s="191"/>
      <c r="Y43" s="232">
        <f>Original!Y43/Original!Y$51</f>
        <v>2.7802426262869902E-3</v>
      </c>
      <c r="Z43" s="232">
        <f>Original!Z43/Original!Z$51</f>
        <v>0</v>
      </c>
      <c r="AA43" s="232" t="e">
        <f>Original!AA43/Original!AA$51</f>
        <v>#DIV/0!</v>
      </c>
      <c r="AB43" s="232">
        <f>Original!AB43/Original!AB$51</f>
        <v>0</v>
      </c>
      <c r="AC43" s="232">
        <f>Original!AC43/Original!AC$51</f>
        <v>0.44167360324766886</v>
      </c>
      <c r="AD43" s="232">
        <f>Original!AD43/Original!AD$51</f>
        <v>0</v>
      </c>
      <c r="AE43" s="248">
        <f>Original!AE43-Original!AB43</f>
        <v>560090</v>
      </c>
      <c r="AF43" s="232">
        <f>Original!AF43/Original!AF$51</f>
        <v>4.4005268802439747E-2</v>
      </c>
      <c r="AH43" s="54">
        <f>Original!K43/Original!K$71</f>
        <v>3.6848141991013741E-4</v>
      </c>
      <c r="AI43" s="54">
        <f>Original!L43/Original!L$71</f>
        <v>1.4832262699598222E-2</v>
      </c>
      <c r="AJ43" s="54">
        <f>Original!M43/Original!M$71</f>
        <v>5.384421075022934E-4</v>
      </c>
      <c r="AK43" s="54">
        <f>Original!N43/Original!N$71</f>
        <v>1.1425976930408484E-2</v>
      </c>
      <c r="AL43" s="54">
        <f>Original!O43/Original!O$71</f>
        <v>9.4364696515548893E-2</v>
      </c>
      <c r="AM43" s="54">
        <f>Original!P43/Original!P$71</f>
        <v>9.1020840290755092E-3</v>
      </c>
      <c r="AN43" s="54">
        <f>Original!Q43/Original!Q$71</f>
        <v>3.7093867897967227E-3</v>
      </c>
      <c r="AO43" s="54">
        <f>Original!R43/Original!R$71</f>
        <v>9.4782659030774492E-3</v>
      </c>
      <c r="AP43" s="54">
        <f>Original!S43/Original!S$71</f>
        <v>1.4448627380398862E-3</v>
      </c>
      <c r="AQ43" s="54">
        <f>Original!T43/Original!T$71</f>
        <v>2.6152691873624744E-3</v>
      </c>
      <c r="AR43" s="54">
        <f>Original!U43/Original!U$71</f>
        <v>2.7731798595813035E-3</v>
      </c>
      <c r="AS43" s="54">
        <f>Original!V43/Original!V$71</f>
        <v>1.6481480344043224E-2</v>
      </c>
      <c r="AY43" s="54">
        <v>1</v>
      </c>
      <c r="BH43" s="256">
        <f>AU43-AH43-'Matriz consumo'!C29</f>
        <v>-3.6848141991013741E-4</v>
      </c>
      <c r="BI43" s="256">
        <f>AV43-AI43-'Matriz consumo'!D29</f>
        <v>-1.4832262699598222E-2</v>
      </c>
      <c r="BJ43" s="256">
        <f>AW43-AJ43-'Matriz consumo'!E29</f>
        <v>-5.384421075022934E-4</v>
      </c>
      <c r="BK43" s="256">
        <f>AX43-AK43-'Matriz consumo'!F29</f>
        <v>-1.1425976930408484E-2</v>
      </c>
      <c r="BL43" s="256">
        <f>AY43-AL43-'Matriz consumo'!G29</f>
        <v>0.90563530348445109</v>
      </c>
      <c r="BM43" s="256">
        <f>AZ43-AM43-'Matriz consumo'!H29</f>
        <v>-9.1020840290755092E-3</v>
      </c>
      <c r="BN43" s="256">
        <f>BA43-AN43-'Matriz consumo'!I29</f>
        <v>-3.7093867897967227E-3</v>
      </c>
      <c r="BO43" s="256">
        <f>BB43-AO43-'Matriz consumo'!J29</f>
        <v>-9.4782659030774492E-3</v>
      </c>
      <c r="BP43" s="256">
        <f>BC43-AP43-'Matriz consumo'!K29</f>
        <v>-1.4448627380398862E-3</v>
      </c>
      <c r="BQ43" s="256">
        <f>BD43-AQ43-'Matriz consumo'!L29</f>
        <v>-2.6152691873624744E-3</v>
      </c>
      <c r="BR43" s="256">
        <f>BE43-AR43-'Matriz consumo'!M29</f>
        <v>-2.7731798595813035E-3</v>
      </c>
      <c r="BS43" s="256">
        <f>BF43-AS43-'Matriz consumo'!N29</f>
        <v>-1.6481480344043224E-2</v>
      </c>
      <c r="BU43" s="54">
        <v>6.9334268846303693E-3</v>
      </c>
      <c r="BV43" s="54">
        <v>2.4918184220831831E-2</v>
      </c>
      <c r="BW43" s="54">
        <v>1.1318006663800258E-2</v>
      </c>
      <c r="BX43" s="54">
        <v>4.1389699135552509E-2</v>
      </c>
      <c r="BY43" s="54">
        <v>1.1099578697180086</v>
      </c>
      <c r="BZ43" s="54">
        <v>0.1545303604318275</v>
      </c>
      <c r="CA43" s="54">
        <v>1.9285769356523749E-2</v>
      </c>
      <c r="CB43" s="54">
        <v>2.5480331173011201E-2</v>
      </c>
      <c r="CC43" s="54">
        <v>1.2508415072113548E-2</v>
      </c>
      <c r="CD43" s="54">
        <v>2.0591540484698242E-2</v>
      </c>
      <c r="CE43" s="54">
        <v>1.5979684567364438E-2</v>
      </c>
      <c r="CF43" s="54">
        <v>2.2934288586479813E-2</v>
      </c>
      <c r="CH43" s="192">
        <v>683264.00000000035</v>
      </c>
      <c r="CI43" s="192">
        <f>Original!AF43</f>
        <v>683264</v>
      </c>
    </row>
    <row r="44" spans="1:87" s="54" customFormat="1" ht="10.15" customHeight="1">
      <c r="A44" s="205" t="s">
        <v>476</v>
      </c>
      <c r="B44" s="192">
        <f t="shared" si="1"/>
        <v>1</v>
      </c>
      <c r="C44" s="192"/>
      <c r="D44" s="192"/>
      <c r="E44" s="192"/>
      <c r="F44" s="192"/>
      <c r="G44" s="192"/>
      <c r="H44" s="192"/>
      <c r="I44" s="192"/>
      <c r="J44" s="192"/>
      <c r="K44" s="231">
        <f>Original!K44/Original!K$69</f>
        <v>4.4360052829932605E-4</v>
      </c>
      <c r="L44" s="231">
        <f>Original!L44/Original!L$69</f>
        <v>5.6240399428999326E-3</v>
      </c>
      <c r="M44" s="231">
        <f>Original!M44/Original!M$69</f>
        <v>1.1607491531754858E-2</v>
      </c>
      <c r="N44" s="231">
        <f>Original!N44/Original!N$69</f>
        <v>2.858770157078425E-3</v>
      </c>
      <c r="O44" s="231">
        <f>Original!O44/Original!O$69</f>
        <v>8.0489664506670192E-4</v>
      </c>
      <c r="P44" s="231">
        <f>Original!P44/Original!P$69</f>
        <v>8.8312919929571798E-3</v>
      </c>
      <c r="Q44" s="231">
        <f>Original!Q44/Original!Q$69</f>
        <v>1.3463168288808572E-2</v>
      </c>
      <c r="R44" s="231">
        <f>Original!R44/Original!R$69</f>
        <v>8.5183450859409437E-3</v>
      </c>
      <c r="S44" s="231">
        <f>Original!S44/Original!S$69</f>
        <v>2.0830271806512456E-4</v>
      </c>
      <c r="T44" s="231">
        <f>Original!T44/Original!T$69</f>
        <v>3.5130566262571471E-5</v>
      </c>
      <c r="U44" s="231">
        <f>Original!U44/Original!U$69</f>
        <v>1.9199955874850043E-3</v>
      </c>
      <c r="V44" s="231">
        <f>Original!V44/Original!V$69</f>
        <v>2.296487610026478E-3</v>
      </c>
      <c r="W44" s="231">
        <f>Original!W44/Original!W$69</f>
        <v>6.0234331381937099E-3</v>
      </c>
      <c r="X44" s="191"/>
      <c r="Y44" s="232">
        <f>Original!Y44/Original!Y$51</f>
        <v>3.7346781156328548E-3</v>
      </c>
      <c r="Z44" s="232">
        <f>Original!Z44/Original!Z$51</f>
        <v>0</v>
      </c>
      <c r="AA44" s="232" t="e">
        <f>Original!AA44/Original!AA$51</f>
        <v>#DIV/0!</v>
      </c>
      <c r="AB44" s="232">
        <f>Original!AB44/Original!AB$51</f>
        <v>1.1636202592131037E-2</v>
      </c>
      <c r="AC44" s="232">
        <f>Original!AC44/Original!AC$51</f>
        <v>0</v>
      </c>
      <c r="AD44" s="232">
        <f>Original!AD44/Original!AD$51</f>
        <v>0</v>
      </c>
      <c r="AE44" s="248">
        <f>Original!AE44-Original!AB44</f>
        <v>4676</v>
      </c>
      <c r="AF44" s="232">
        <f>Original!AF44/Original!AF$51</f>
        <v>9.0640945746431282E-3</v>
      </c>
      <c r="AH44" s="54">
        <f>Original!K44/Original!K$71</f>
        <v>3.7593624632450436E-4</v>
      </c>
      <c r="AI44" s="54">
        <f>Original!L44/Original!L$71</f>
        <v>5.237642765795622E-3</v>
      </c>
      <c r="AJ44" s="54">
        <f>Original!M44/Original!M$71</f>
        <v>6.763840806645949E-3</v>
      </c>
      <c r="AK44" s="54">
        <f>Original!N44/Original!N$71</f>
        <v>2.4390426945042737E-3</v>
      </c>
      <c r="AL44" s="54">
        <f>Original!O44/Original!O$71</f>
        <v>7.215366242038216E-4</v>
      </c>
      <c r="AM44" s="54">
        <f>Original!P44/Original!P$71</f>
        <v>8.8136026773343187E-2</v>
      </c>
      <c r="AN44" s="54">
        <f>Original!Q44/Original!Q$71</f>
        <v>1.4899135649529816E-2</v>
      </c>
      <c r="AO44" s="54">
        <f>Original!R44/Original!R$71</f>
        <v>6.929441443325534E-3</v>
      </c>
      <c r="AP44" s="54">
        <f>Original!S44/Original!S$71</f>
        <v>1.8248266414690604E-4</v>
      </c>
      <c r="AQ44" s="54">
        <f>Original!T44/Original!T$71</f>
        <v>3.1524459828380842E-5</v>
      </c>
      <c r="AR44" s="54">
        <f>Original!U44/Original!U$71</f>
        <v>1.637841718901004E-3</v>
      </c>
      <c r="AS44" s="54">
        <f>Original!V44/Original!V$71</f>
        <v>2.4090942283425498E-3</v>
      </c>
      <c r="AZ44" s="54">
        <v>1</v>
      </c>
      <c r="BH44" s="256">
        <f>AU44-AH44-'Matriz consumo'!C30</f>
        <v>-3.7593624632450436E-4</v>
      </c>
      <c r="BI44" s="256">
        <f>AV44-AI44-'Matriz consumo'!D30</f>
        <v>-5.237642765795622E-3</v>
      </c>
      <c r="BJ44" s="256">
        <f>AW44-AJ44-'Matriz consumo'!E30</f>
        <v>-6.763840806645949E-3</v>
      </c>
      <c r="BK44" s="256">
        <f>AX44-AK44-'Matriz consumo'!F30</f>
        <v>-2.4390426945042737E-3</v>
      </c>
      <c r="BL44" s="256">
        <f>AY44-AL44-'Matriz consumo'!G30</f>
        <v>-7.215366242038216E-4</v>
      </c>
      <c r="BM44" s="256">
        <f>AZ44-AM44-'Matriz consumo'!H30</f>
        <v>0.51458394025735954</v>
      </c>
      <c r="BN44" s="256">
        <f>BA44-AN44-'Matriz consumo'!I30</f>
        <v>-1.4899135649529816E-2</v>
      </c>
      <c r="BO44" s="256">
        <f>BB44-AO44-'Matriz consumo'!J30</f>
        <v>-6.929441443325534E-3</v>
      </c>
      <c r="BP44" s="256">
        <f>BC44-AP44-'Matriz consumo'!K30</f>
        <v>-1.8248266414690604E-4</v>
      </c>
      <c r="BQ44" s="256">
        <f>BD44-AQ44-'Matriz consumo'!L30</f>
        <v>-3.1524459828380842E-5</v>
      </c>
      <c r="BR44" s="256">
        <f>BE44-AR44-'Matriz consumo'!M30</f>
        <v>-1.637841718901004E-3</v>
      </c>
      <c r="BS44" s="256">
        <f>BF44-AS44-'Matriz consumo'!N30</f>
        <v>-2.4090942283425498E-3</v>
      </c>
      <c r="BU44" s="54">
        <v>2.6278062947643874E-2</v>
      </c>
      <c r="BV44" s="54">
        <v>3.8412554265482096E-2</v>
      </c>
      <c r="BW44" s="54">
        <v>5.626294308911628E-2</v>
      </c>
      <c r="BX44" s="54">
        <v>3.5802437900300799E-2</v>
      </c>
      <c r="BY44" s="54">
        <v>2.5467086576681192E-2</v>
      </c>
      <c r="BZ44" s="54">
        <v>2.2783681181690372</v>
      </c>
      <c r="CA44" s="54">
        <v>8.4864220351271544E-2</v>
      </c>
      <c r="CB44" s="54">
        <v>4.0413541428394102E-2</v>
      </c>
      <c r="CC44" s="54">
        <v>1.7124142649890272E-2</v>
      </c>
      <c r="CD44" s="54">
        <v>1.1010123254616758E-2</v>
      </c>
      <c r="CE44" s="54">
        <v>3.1295760599772682E-2</v>
      </c>
      <c r="CF44" s="54">
        <v>1.5206243440321704E-2</v>
      </c>
      <c r="CH44" s="192">
        <v>140736.99999999994</v>
      </c>
      <c r="CI44" s="192">
        <f>Original!AF44</f>
        <v>140737</v>
      </c>
    </row>
    <row r="45" spans="1:87" s="54" customFormat="1" ht="10.15" customHeight="1">
      <c r="A45" s="205" t="s">
        <v>477</v>
      </c>
      <c r="B45" s="192">
        <f t="shared" si="1"/>
        <v>1</v>
      </c>
      <c r="C45" s="192"/>
      <c r="D45" s="192"/>
      <c r="E45" s="192"/>
      <c r="F45" s="192"/>
      <c r="G45" s="192"/>
      <c r="H45" s="192"/>
      <c r="I45" s="192"/>
      <c r="J45" s="192"/>
      <c r="K45" s="231">
        <f>Original!K45/Original!K$69</f>
        <v>1.6210897493091517E-2</v>
      </c>
      <c r="L45" s="231">
        <f>Original!L45/Original!L$69</f>
        <v>8.2754376955462394E-2</v>
      </c>
      <c r="M45" s="231">
        <f>Original!M45/Original!M$69</f>
        <v>4.0025988386406662E-2</v>
      </c>
      <c r="N45" s="231">
        <f>Original!N45/Original!N$69</f>
        <v>1.1498853193356218E-2</v>
      </c>
      <c r="O45" s="231">
        <f>Original!O45/Original!O$69</f>
        <v>4.9795837068021117E-3</v>
      </c>
      <c r="P45" s="231">
        <f>Original!P45/Original!P$69</f>
        <v>5.8286242364997784E-2</v>
      </c>
      <c r="Q45" s="231">
        <f>Original!Q45/Original!Q$69</f>
        <v>0.14363627979602514</v>
      </c>
      <c r="R45" s="231">
        <f>Original!R45/Original!R$69</f>
        <v>6.3399809020126341E-3</v>
      </c>
      <c r="S45" s="231">
        <f>Original!S45/Original!S$69</f>
        <v>8.4847689337896968E-3</v>
      </c>
      <c r="T45" s="231">
        <f>Original!T45/Original!T$69</f>
        <v>4.6231825201544061E-4</v>
      </c>
      <c r="U45" s="231">
        <f>Original!U45/Original!U$69</f>
        <v>1.2169164793645978E-2</v>
      </c>
      <c r="V45" s="231">
        <f>Original!V45/Original!V$69</f>
        <v>7.9069434595642526E-3</v>
      </c>
      <c r="W45" s="231">
        <f>Original!W45/Original!W$69</f>
        <v>3.1871310507230501E-2</v>
      </c>
      <c r="X45" s="191"/>
      <c r="Y45" s="232">
        <f>Original!Y45/Original!Y$51</f>
        <v>2.7490138165519082E-2</v>
      </c>
      <c r="Z45" s="232">
        <f>Original!Z45/Original!Z$51</f>
        <v>0</v>
      </c>
      <c r="AA45" s="232" t="e">
        <f>Original!AA45/Original!AA$51</f>
        <v>#DIV/0!</v>
      </c>
      <c r="AB45" s="232">
        <f>Original!AB45/Original!AB$51</f>
        <v>2.2847639668978424E-2</v>
      </c>
      <c r="AC45" s="232">
        <f>Original!AC45/Original!AC$51</f>
        <v>0</v>
      </c>
      <c r="AD45" s="232">
        <f>Original!AD45/Original!AD$51</f>
        <v>0</v>
      </c>
      <c r="AE45" s="248">
        <f>Original!AE45-Original!AB45</f>
        <v>34419</v>
      </c>
      <c r="AF45" s="232">
        <f>Original!AF45/Original!AF$51</f>
        <v>3.6600298270069664E-2</v>
      </c>
      <c r="AH45" s="54">
        <f>Original!K45/Original!K$71</f>
        <v>1.3738180106476221E-2</v>
      </c>
      <c r="AI45" s="54">
        <f>Original!L45/Original!L$71</f>
        <v>7.7068774083991903E-2</v>
      </c>
      <c r="AJ45" s="54">
        <f>Original!M45/Original!M$71</f>
        <v>2.3323679611023114E-2</v>
      </c>
      <c r="AK45" s="54">
        <f>Original!N45/Original!N$71</f>
        <v>9.8105801919714224E-3</v>
      </c>
      <c r="AL45" s="54">
        <f>Original!O45/Original!O$71</f>
        <v>4.4638675533907827E-3</v>
      </c>
      <c r="AM45" s="54">
        <f>Original!P45/Original!P$71</f>
        <v>0.58169493452325971</v>
      </c>
      <c r="AN45" s="54">
        <f>Original!Q45/Original!Q$71</f>
        <v>0.15895637423278339</v>
      </c>
      <c r="AO45" s="54">
        <f>Original!R45/Original!R$71</f>
        <v>5.1574015808313464E-3</v>
      </c>
      <c r="AP45" s="54">
        <f>Original!S45/Original!S$71</f>
        <v>7.433043860833221E-3</v>
      </c>
      <c r="AQ45" s="54">
        <f>Original!T45/Original!T$71</f>
        <v>4.1486189134149186E-4</v>
      </c>
      <c r="AR45" s="54">
        <f>Original!U45/Original!U$71</f>
        <v>1.0380839369179216E-2</v>
      </c>
      <c r="AS45" s="54">
        <f>Original!V45/Original!V$71</f>
        <v>8.2946547454037824E-3</v>
      </c>
      <c r="BA45" s="54">
        <v>1</v>
      </c>
      <c r="BH45" s="256">
        <f>AU45-AH45-'Matriz consumo'!C31</f>
        <v>-1.3738180106476221E-2</v>
      </c>
      <c r="BI45" s="256">
        <f>AV45-AI45-'Matriz consumo'!D31</f>
        <v>-7.7068774083991903E-2</v>
      </c>
      <c r="BJ45" s="256">
        <f>AW45-AJ45-'Matriz consumo'!E31</f>
        <v>-2.3323679611023114E-2</v>
      </c>
      <c r="BK45" s="256">
        <f>AX45-AK45-'Matriz consumo'!F31</f>
        <v>-9.8105801919714224E-3</v>
      </c>
      <c r="BL45" s="256">
        <f>AY45-AL45-'Matriz consumo'!G31</f>
        <v>-4.4638675533907827E-3</v>
      </c>
      <c r="BM45" s="256">
        <f>AZ45-AM45-'Matriz consumo'!H31</f>
        <v>-0.58169493452325971</v>
      </c>
      <c r="BN45" s="256">
        <f>BA45-AN45-'Matriz consumo'!I31</f>
        <v>0.64786164761529363</v>
      </c>
      <c r="BO45" s="256">
        <f>BB45-AO45-'Matriz consumo'!J31</f>
        <v>-5.1574015808313464E-3</v>
      </c>
      <c r="BP45" s="256">
        <f>BC45-AP45-'Matriz consumo'!K31</f>
        <v>-7.433043860833221E-3</v>
      </c>
      <c r="BQ45" s="256">
        <f>BD45-AQ45-'Matriz consumo'!L31</f>
        <v>-4.1486189134149186E-4</v>
      </c>
      <c r="BR45" s="256">
        <f>BE45-AR45-'Matriz consumo'!M31</f>
        <v>-1.0380839369179216E-2</v>
      </c>
      <c r="BS45" s="256">
        <f>BF45-AS45-'Matriz consumo'!N31</f>
        <v>-8.2946547454037824E-3</v>
      </c>
      <c r="BU45" s="54">
        <v>0.12207822914137655</v>
      </c>
      <c r="BV45" s="54">
        <v>0.22670454163552542</v>
      </c>
      <c r="BW45" s="54">
        <v>0.2082819833006862</v>
      </c>
      <c r="BX45" s="54">
        <v>0.14055637973387577</v>
      </c>
      <c r="BY45" s="54">
        <v>9.8746172376353539E-2</v>
      </c>
      <c r="BZ45" s="54">
        <v>2.8765210247767965</v>
      </c>
      <c r="CA45" s="54">
        <v>1.7316933103004462</v>
      </c>
      <c r="CB45" s="54">
        <v>0.1021527594564329</v>
      </c>
      <c r="CC45" s="54">
        <v>8.5464385297116433E-2</v>
      </c>
      <c r="CD45" s="54">
        <v>4.7774264818026636E-2</v>
      </c>
      <c r="CE45" s="54">
        <v>0.12594309338256415</v>
      </c>
      <c r="CF45" s="54">
        <v>5.5588906263525424E-2</v>
      </c>
      <c r="CH45" s="192">
        <v>568287.99999999977</v>
      </c>
      <c r="CI45" s="192">
        <f>Original!AF45</f>
        <v>568288</v>
      </c>
    </row>
    <row r="46" spans="1:87" s="54" customFormat="1" ht="10.15" customHeight="1">
      <c r="A46" s="205" t="s">
        <v>478</v>
      </c>
      <c r="B46" s="192">
        <f t="shared" si="1"/>
        <v>1</v>
      </c>
      <c r="C46" s="192"/>
      <c r="D46" s="192"/>
      <c r="E46" s="192"/>
      <c r="F46" s="192"/>
      <c r="G46" s="192"/>
      <c r="H46" s="192"/>
      <c r="I46" s="192"/>
      <c r="J46" s="192"/>
      <c r="K46" s="231">
        <f>Original!K46/Original!K$69</f>
        <v>7.9169499384865559E-5</v>
      </c>
      <c r="L46" s="231">
        <f>Original!L46/Original!L$69</f>
        <v>4.1399811325450028E-3</v>
      </c>
      <c r="M46" s="231">
        <f>Original!M46/Original!M$69</f>
        <v>5.9017726010883497E-3</v>
      </c>
      <c r="N46" s="231">
        <f>Original!N46/Original!N$69</f>
        <v>7.1315320149271787E-3</v>
      </c>
      <c r="O46" s="231">
        <f>Original!O46/Original!O$69</f>
        <v>2.8653014444058049E-3</v>
      </c>
      <c r="P46" s="231">
        <f>Original!P46/Original!P$69</f>
        <v>1.7883295088608388E-2</v>
      </c>
      <c r="Q46" s="231">
        <f>Original!Q46/Original!Q$69</f>
        <v>1.0583541765715113E-2</v>
      </c>
      <c r="R46" s="231">
        <f>Original!R46/Original!R$69</f>
        <v>0.13004535771999412</v>
      </c>
      <c r="S46" s="231">
        <f>Original!S46/Original!S$69</f>
        <v>4.8749969681967403E-2</v>
      </c>
      <c r="T46" s="231">
        <f>Original!T46/Original!T$69</f>
        <v>1.7888484340901395E-3</v>
      </c>
      <c r="U46" s="231">
        <f>Original!U46/Original!U$69</f>
        <v>4.300602584079094E-2</v>
      </c>
      <c r="V46" s="231">
        <f>Original!V46/Original!V$69</f>
        <v>2.4209403238502923E-2</v>
      </c>
      <c r="W46" s="231">
        <f>Original!W46/Original!W$69</f>
        <v>2.0155342633910705E-2</v>
      </c>
      <c r="X46" s="191"/>
      <c r="Y46" s="232">
        <f>Original!Y46/Original!Y$51</f>
        <v>1.2205592592622173E-2</v>
      </c>
      <c r="Z46" s="232">
        <f>Original!Z46/Original!Z$51</f>
        <v>0</v>
      </c>
      <c r="AA46" s="232" t="e">
        <f>Original!AA46/Original!AA$51</f>
        <v>#DIV/0!</v>
      </c>
      <c r="AB46" s="232">
        <f>Original!AB46/Original!AB$51</f>
        <v>3.1760639533286547E-2</v>
      </c>
      <c r="AC46" s="232">
        <f>Original!AC46/Original!AC$51</f>
        <v>8.0075256283193424E-2</v>
      </c>
      <c r="AD46" s="232">
        <f>Original!AD46/Original!AD$51</f>
        <v>4.2948225987366431E-2</v>
      </c>
      <c r="AE46" s="248">
        <f>Original!AE46-Original!AB46</f>
        <v>114740</v>
      </c>
      <c r="AF46" s="232">
        <f>Original!AF46/Original!AF$51</f>
        <v>3.4491244467332371E-2</v>
      </c>
      <c r="AH46" s="54">
        <f>Original!K46/Original!K$71</f>
        <v>6.7093437729302474E-5</v>
      </c>
      <c r="AI46" s="54">
        <f>Original!L46/Original!L$71</f>
        <v>3.8555455596966971E-3</v>
      </c>
      <c r="AJ46" s="54">
        <f>Original!M46/Original!M$71</f>
        <v>3.4390419533436743E-3</v>
      </c>
      <c r="AK46" s="54">
        <f>Original!N46/Original!N$71</f>
        <v>6.0844734294441235E-3</v>
      </c>
      <c r="AL46" s="54">
        <f>Original!O46/Original!O$71</f>
        <v>2.5685532971150243E-3</v>
      </c>
      <c r="AM46" s="54">
        <f>Original!P46/Original!P$71</f>
        <v>0.17847474367081861</v>
      </c>
      <c r="AN46" s="54">
        <f>Original!Q46/Original!Q$71</f>
        <v>1.1712371192071625E-2</v>
      </c>
      <c r="AO46" s="54">
        <f>Original!R46/Original!R$71</f>
        <v>0.10578835233903661</v>
      </c>
      <c r="AP46" s="54">
        <f>Original!S46/Original!S$71</f>
        <v>4.2707192816682414E-2</v>
      </c>
      <c r="AQ46" s="54">
        <f>Original!T46/Original!T$71</f>
        <v>1.6052254944611524E-3</v>
      </c>
      <c r="AR46" s="54">
        <f>Original!U46/Original!U$71</f>
        <v>3.6686054772890025E-2</v>
      </c>
      <c r="AS46" s="54">
        <f>Original!V46/Original!V$71</f>
        <v>2.539649391481907E-2</v>
      </c>
      <c r="BB46" s="54">
        <v>1</v>
      </c>
      <c r="BH46" s="256">
        <f>AU46-AH46-'Matriz consumo'!C32</f>
        <v>-6.7093437729302474E-5</v>
      </c>
      <c r="BI46" s="256">
        <f>AV46-AI46-'Matriz consumo'!D32</f>
        <v>-3.8555455596966971E-3</v>
      </c>
      <c r="BJ46" s="256">
        <f>AW46-AJ46-'Matriz consumo'!E32</f>
        <v>-3.4390419533436743E-3</v>
      </c>
      <c r="BK46" s="256">
        <f>AX46-AK46-'Matriz consumo'!F32</f>
        <v>-6.0844734294441235E-3</v>
      </c>
      <c r="BL46" s="256">
        <f>AY46-AL46-'Matriz consumo'!G32</f>
        <v>-2.5685532971150243E-3</v>
      </c>
      <c r="BM46" s="256">
        <f>AZ46-AM46-'Matriz consumo'!H32</f>
        <v>-0.17847474367081861</v>
      </c>
      <c r="BN46" s="256">
        <f>BA46-AN46-'Matriz consumo'!I32</f>
        <v>-1.1712371192071625E-2</v>
      </c>
      <c r="BO46" s="256">
        <f>BB46-AO46-'Matriz consumo'!J32</f>
        <v>0.60924747124869993</v>
      </c>
      <c r="BP46" s="256">
        <f>BC46-AP46-'Matriz consumo'!K32</f>
        <v>-4.2707192816682414E-2</v>
      </c>
      <c r="BQ46" s="256">
        <f>BD46-AQ46-'Matriz consumo'!L32</f>
        <v>-1.6052254944611524E-3</v>
      </c>
      <c r="BR46" s="256">
        <f>BE46-AR46-'Matriz consumo'!M32</f>
        <v>-3.6686054772890025E-2</v>
      </c>
      <c r="BS46" s="256">
        <f>BF46-AS46-'Matriz consumo'!N32</f>
        <v>-2.539649391481907E-2</v>
      </c>
      <c r="BU46" s="54">
        <v>4.7752493093023221E-2</v>
      </c>
      <c r="BV46" s="54">
        <v>7.9355298615370676E-2</v>
      </c>
      <c r="BW46" s="54">
        <v>9.1000170563140428E-2</v>
      </c>
      <c r="BX46" s="54">
        <v>0.10048945784193865</v>
      </c>
      <c r="BY46" s="54">
        <v>5.2534732861913527E-2</v>
      </c>
      <c r="BZ46" s="54">
        <v>1.6347274898550539</v>
      </c>
      <c r="CA46" s="54">
        <v>0.15086517948906603</v>
      </c>
      <c r="CB46" s="54">
        <v>1.7286777089591268</v>
      </c>
      <c r="CC46" s="54">
        <v>0.24543609714067513</v>
      </c>
      <c r="CD46" s="54">
        <v>8.1122018202182331E-2</v>
      </c>
      <c r="CE46" s="54">
        <v>0.18766387089095143</v>
      </c>
      <c r="CF46" s="54">
        <v>8.4487591379068708E-2</v>
      </c>
      <c r="CH46" s="192">
        <v>535540.99999999988</v>
      </c>
      <c r="CI46" s="192">
        <f>Original!AF46</f>
        <v>535541</v>
      </c>
    </row>
    <row r="47" spans="1:87" s="54" customFormat="1" ht="9.75" customHeight="1">
      <c r="A47" s="206" t="s">
        <v>479</v>
      </c>
      <c r="B47" s="192">
        <f t="shared" si="1"/>
        <v>1</v>
      </c>
      <c r="C47" s="192"/>
      <c r="D47" s="192"/>
      <c r="E47" s="192"/>
      <c r="F47" s="192"/>
      <c r="G47" s="192"/>
      <c r="H47" s="192"/>
      <c r="I47" s="192"/>
      <c r="J47" s="192"/>
      <c r="K47" s="231">
        <f>Original!K47/Original!K$69</f>
        <v>1.5262120159193527E-2</v>
      </c>
      <c r="L47" s="231">
        <f>Original!L47/Original!L$69</f>
        <v>1.9960138542319431E-2</v>
      </c>
      <c r="M47" s="231">
        <f>Original!M47/Original!M$69</f>
        <v>1.806797729916039E-2</v>
      </c>
      <c r="N47" s="231">
        <f>Original!N47/Original!N$69</f>
        <v>2.5629973985191571E-2</v>
      </c>
      <c r="O47" s="231">
        <f>Original!O47/Original!O$69</f>
        <v>1.5706096806372562E-2</v>
      </c>
      <c r="P47" s="231">
        <f>Original!P47/Original!P$69</f>
        <v>2.7053485419895752E-2</v>
      </c>
      <c r="Q47" s="231">
        <f>Original!Q47/Original!Q$69</f>
        <v>2.6600371123594969E-2</v>
      </c>
      <c r="R47" s="231">
        <f>Original!R47/Original!R$69</f>
        <v>3.2905005876303808E-2</v>
      </c>
      <c r="S47" s="231">
        <f>Original!S47/Original!S$69</f>
        <v>0.15892213330517918</v>
      </c>
      <c r="T47" s="231">
        <f>Original!T47/Original!T$69</f>
        <v>3.9462867694071785E-2</v>
      </c>
      <c r="U47" s="231">
        <f>Original!U47/Original!U$69</f>
        <v>1.7438259262834214E-2</v>
      </c>
      <c r="V47" s="231">
        <f>Original!V47/Original!V$69</f>
        <v>3.9561390383376811E-2</v>
      </c>
      <c r="W47" s="231">
        <f>Original!W47/Original!W$69</f>
        <v>3.0911081368916848E-2</v>
      </c>
      <c r="X47" s="191"/>
      <c r="Y47" s="232">
        <f>Original!Y47/Original!Y$51</f>
        <v>5.5453101276387749E-3</v>
      </c>
      <c r="Z47" s="232">
        <f>Original!Z47/Original!Z$51</f>
        <v>1.4129972249126096E-3</v>
      </c>
      <c r="AA47" s="232" t="e">
        <f>Original!AA47/Original!AA$51</f>
        <v>#DIV/0!</v>
      </c>
      <c r="AB47" s="232">
        <f>Original!AB47/Original!AB$51</f>
        <v>7.9013253683035439E-2</v>
      </c>
      <c r="AC47" s="232">
        <f>Original!AC47/Original!AC$51</f>
        <v>0</v>
      </c>
      <c r="AD47" s="232">
        <f>Original!AD47/Original!AD$51</f>
        <v>0</v>
      </c>
      <c r="AE47" s="248">
        <f>Original!AE47-Original!AB47</f>
        <v>9108</v>
      </c>
      <c r="AF47" s="232">
        <f>Original!AF47/Original!AF$51</f>
        <v>5.1528485976695362E-2</v>
      </c>
      <c r="AH47" s="54">
        <f>Original!K47/Original!K$71</f>
        <v>1.2934123828926643E-2</v>
      </c>
      <c r="AI47" s="54">
        <f>Original!L47/Original!L$71</f>
        <v>1.8588786050931123E-2</v>
      </c>
      <c r="AJ47" s="54">
        <f>Original!M47/Original!M$71</f>
        <v>1.0528452406386359E-2</v>
      </c>
      <c r="AK47" s="54">
        <f>Original!N47/Original!N$71</f>
        <v>2.1866955849574855E-2</v>
      </c>
      <c r="AL47" s="54">
        <f>Original!O47/Original!O$71</f>
        <v>1.4079477332334207E-2</v>
      </c>
      <c r="AM47" s="54">
        <f>Original!P47/Original!P$71</f>
        <v>0.2699929656025068</v>
      </c>
      <c r="AN47" s="54">
        <f>Original!Q47/Original!Q$71</f>
        <v>2.943753871276536E-2</v>
      </c>
      <c r="AO47" s="54">
        <f>Original!R47/Original!R$71</f>
        <v>2.6767325004061315E-2</v>
      </c>
      <c r="AP47" s="54">
        <f>Original!S47/Original!S$71</f>
        <v>0.1392230238127378</v>
      </c>
      <c r="AQ47" s="54">
        <f>Original!T47/Original!T$71</f>
        <v>3.5412056214416766E-2</v>
      </c>
      <c r="AR47" s="54">
        <f>Original!U47/Original!U$71</f>
        <v>1.4875611544031641E-2</v>
      </c>
      <c r="AS47" s="54">
        <f>Original!V47/Original!V$71</f>
        <v>4.1501254708141304E-2</v>
      </c>
      <c r="BC47" s="54">
        <v>1</v>
      </c>
      <c r="BH47" s="256">
        <f>AU47-AH47-'Matriz consumo'!C33</f>
        <v>-1.2934123828926643E-2</v>
      </c>
      <c r="BI47" s="256">
        <f>AV47-AI47-'Matriz consumo'!D33</f>
        <v>-1.8588786050931123E-2</v>
      </c>
      <c r="BJ47" s="256">
        <f>AW47-AJ47-'Matriz consumo'!E33</f>
        <v>-1.0528452406386359E-2</v>
      </c>
      <c r="BK47" s="256">
        <f>AX47-AK47-'Matriz consumo'!F33</f>
        <v>-2.1866955849574855E-2</v>
      </c>
      <c r="BL47" s="256">
        <f>AY47-AL47-'Matriz consumo'!G33</f>
        <v>-1.4079477332334207E-2</v>
      </c>
      <c r="BM47" s="256">
        <f>AZ47-AM47-'Matriz consumo'!H33</f>
        <v>-0.2699929656025068</v>
      </c>
      <c r="BN47" s="256">
        <f>BA47-AN47-'Matriz consumo'!I33</f>
        <v>-2.943753871276536E-2</v>
      </c>
      <c r="BO47" s="256">
        <f>BB47-AO47-'Matriz consumo'!J33</f>
        <v>-2.6767325004061315E-2</v>
      </c>
      <c r="BP47" s="256">
        <f>BC47-AP47-'Matriz consumo'!K33</f>
        <v>0.38624830641089097</v>
      </c>
      <c r="BQ47" s="256">
        <f>BD47-AQ47-'Matriz consumo'!L33</f>
        <v>-3.5412056214416766E-2</v>
      </c>
      <c r="BR47" s="256">
        <f>BE47-AR47-'Matriz consumo'!M33</f>
        <v>-1.4875611544031641E-2</v>
      </c>
      <c r="BS47" s="256">
        <f>BF47-AS47-'Matriz consumo'!N33</f>
        <v>-4.1501254708141304E-2</v>
      </c>
      <c r="BU47" s="54">
        <v>0.15362147344445287</v>
      </c>
      <c r="BV47" s="54">
        <v>0.18984006273125917</v>
      </c>
      <c r="BW47" s="54">
        <v>0.22394835564593349</v>
      </c>
      <c r="BX47" s="54">
        <v>0.27814824300833368</v>
      </c>
      <c r="BY47" s="54">
        <v>0.14361444280159411</v>
      </c>
      <c r="BZ47" s="54">
        <v>3.5015474132702895</v>
      </c>
      <c r="CA47" s="54">
        <v>0.35648647998411698</v>
      </c>
      <c r="CB47" s="54">
        <v>0.25133535037227023</v>
      </c>
      <c r="CC47" s="54">
        <v>2.7025190041654255</v>
      </c>
      <c r="CD47" s="54">
        <v>0.55481292822237094</v>
      </c>
      <c r="CE47" s="54">
        <v>0.22777670936724387</v>
      </c>
      <c r="CF47" s="54">
        <v>0.17311414695690114</v>
      </c>
      <c r="CH47" s="192">
        <v>800075.99999999977</v>
      </c>
      <c r="CI47" s="192">
        <f>Original!AF47</f>
        <v>800076</v>
      </c>
    </row>
    <row r="48" spans="1:87" s="54" customFormat="1" ht="10.15" customHeight="1">
      <c r="A48" s="205" t="s">
        <v>480</v>
      </c>
      <c r="B48" s="192">
        <f t="shared" si="1"/>
        <v>1</v>
      </c>
      <c r="C48" s="192"/>
      <c r="D48" s="192"/>
      <c r="E48" s="192"/>
      <c r="F48" s="192"/>
      <c r="G48" s="192"/>
      <c r="H48" s="192"/>
      <c r="I48" s="192"/>
      <c r="J48" s="192"/>
      <c r="K48" s="231">
        <f>Original!K48/Original!K$69</f>
        <v>3.392978545065667E-5</v>
      </c>
      <c r="L48" s="231">
        <f>Original!L48/Original!L$69</f>
        <v>1.6854021550524736E-3</v>
      </c>
      <c r="M48" s="231">
        <f>Original!M48/Original!M$69</f>
        <v>2.3820918900104419E-3</v>
      </c>
      <c r="N48" s="231">
        <f>Original!N48/Original!N$69</f>
        <v>3.5580693185791471E-3</v>
      </c>
      <c r="O48" s="231">
        <f>Original!O48/Original!O$69</f>
        <v>2.4457102927178892E-3</v>
      </c>
      <c r="P48" s="231">
        <f>Original!P48/Original!P$69</f>
        <v>4.2328829640219542E-2</v>
      </c>
      <c r="Q48" s="231">
        <f>Original!Q48/Original!Q$69</f>
        <v>1.0195563371659451E-2</v>
      </c>
      <c r="R48" s="231">
        <f>Original!R48/Original!R$69</f>
        <v>1.4819303657999119E-2</v>
      </c>
      <c r="S48" s="231">
        <f>Original!S48/Original!S$69</f>
        <v>9.7645465920391267E-3</v>
      </c>
      <c r="T48" s="231">
        <f>Original!T48/Original!T$69</f>
        <v>4.1341650377794111E-3</v>
      </c>
      <c r="U48" s="231">
        <f>Original!U48/Original!U$69</f>
        <v>2.5036610085354585E-2</v>
      </c>
      <c r="V48" s="231">
        <f>Original!V48/Original!V$69</f>
        <v>3.1083903118148759E-3</v>
      </c>
      <c r="W48" s="231">
        <f>Original!W48/Original!W$69</f>
        <v>1.0907998595241211E-2</v>
      </c>
      <c r="X48" s="191"/>
      <c r="Y48" s="232">
        <f>Original!Y48/Original!Y$51</f>
        <v>3.7442624050656164E-3</v>
      </c>
      <c r="Z48" s="232">
        <f>Original!Z48/Original!Z$51</f>
        <v>0</v>
      </c>
      <c r="AA48" s="232" t="e">
        <f>Original!AA48/Original!AA$51</f>
        <v>#DIV/0!</v>
      </c>
      <c r="AB48" s="232">
        <f>Original!AB48/Original!AB$51</f>
        <v>0.13386107482949025</v>
      </c>
      <c r="AC48" s="232">
        <f>Original!AC48/Original!AC$51</f>
        <v>0</v>
      </c>
      <c r="AD48" s="232">
        <f>Original!AD48/Original!AD$51</f>
        <v>0</v>
      </c>
      <c r="AE48" s="248">
        <f>Original!AE48-Original!AB48</f>
        <v>4688</v>
      </c>
      <c r="AF48" s="232">
        <f>Original!AF48/Original!AF$51</f>
        <v>5.1075013969333671E-2</v>
      </c>
      <c r="AH48" s="54">
        <f>Original!K48/Original!K$71</f>
        <v>2.8754330455415347E-5</v>
      </c>
      <c r="AI48" s="54">
        <f>Original!L48/Original!L$71</f>
        <v>1.5696073453410051E-3</v>
      </c>
      <c r="AJ48" s="54">
        <f>Original!M48/Original!M$71</f>
        <v>1.3880768542242584E-3</v>
      </c>
      <c r="AK48" s="54">
        <f>Original!N48/Original!N$71</f>
        <v>3.0356700613137812E-3</v>
      </c>
      <c r="AL48" s="54">
        <f>Original!O48/Original!O$71</f>
        <v>2.1924175721243912E-3</v>
      </c>
      <c r="AM48" s="54">
        <f>Original!P48/Original!P$71</f>
        <v>0.42244043854849828</v>
      </c>
      <c r="AN48" s="54">
        <f>Original!Q48/Original!Q$71</f>
        <v>1.1283011430823808E-2</v>
      </c>
      <c r="AO48" s="54">
        <f>Original!R48/Original!R$71</f>
        <v>1.2055099422826636E-2</v>
      </c>
      <c r="AP48" s="54">
        <f>Original!S48/Original!S$71</f>
        <v>8.5541873522015401E-3</v>
      </c>
      <c r="AQ48" s="54">
        <f>Original!T48/Original!T$71</f>
        <v>3.7097984326038575E-3</v>
      </c>
      <c r="AR48" s="54">
        <f>Original!U48/Original!U$71</f>
        <v>2.1357343092316683E-2</v>
      </c>
      <c r="AS48" s="54">
        <f>Original!V48/Original!V$71</f>
        <v>3.2608079951900013E-3</v>
      </c>
      <c r="BD48" s="54">
        <v>1</v>
      </c>
      <c r="BH48" s="256">
        <f>AU48-AH48-'Matriz consumo'!C34</f>
        <v>-2.8754330455415347E-5</v>
      </c>
      <c r="BI48" s="256">
        <f>AV48-AI48-'Matriz consumo'!D34</f>
        <v>-1.5696073453410051E-3</v>
      </c>
      <c r="BJ48" s="256">
        <f>AW48-AJ48-'Matriz consumo'!E34</f>
        <v>-1.3880768542242584E-3</v>
      </c>
      <c r="BK48" s="256">
        <f>AX48-AK48-'Matriz consumo'!F34</f>
        <v>-3.0356700613137812E-3</v>
      </c>
      <c r="BL48" s="256">
        <f>AY48-AL48-'Matriz consumo'!G34</f>
        <v>-2.1924175721243912E-3</v>
      </c>
      <c r="BM48" s="256">
        <f>AZ48-AM48-'Matriz consumo'!H34</f>
        <v>-0.42244043854849828</v>
      </c>
      <c r="BN48" s="256">
        <f>BA48-AN48-'Matriz consumo'!I34</f>
        <v>-1.1283011430823808E-2</v>
      </c>
      <c r="BO48" s="256">
        <f>BB48-AO48-'Matriz consumo'!J34</f>
        <v>-1.2055099422826636E-2</v>
      </c>
      <c r="BP48" s="256">
        <f>BC48-AP48-'Matriz consumo'!K34</f>
        <v>-8.5541873522015401E-3</v>
      </c>
      <c r="BQ48" s="256">
        <f>BD48-AQ48-'Matriz consumo'!L34</f>
        <v>0.18522511616763448</v>
      </c>
      <c r="BR48" s="256">
        <f>BE48-AR48-'Matriz consumo'!M34</f>
        <v>-2.1357343092316683E-2</v>
      </c>
      <c r="BS48" s="256">
        <f>BF48-AS48-'Matriz consumo'!N34</f>
        <v>-3.2608079951900013E-3</v>
      </c>
      <c r="BU48" s="54">
        <v>0.12312791865465179</v>
      </c>
      <c r="BV48" s="54">
        <v>0.20237887787580686</v>
      </c>
      <c r="BW48" s="54">
        <v>0.24876815585939369</v>
      </c>
      <c r="BX48" s="54">
        <v>0.22699150701383419</v>
      </c>
      <c r="BY48" s="54">
        <v>0.13599561255067116</v>
      </c>
      <c r="BZ48" s="54">
        <v>6.8274553265792219</v>
      </c>
      <c r="CA48" s="54">
        <v>0.44493502319491113</v>
      </c>
      <c r="CB48" s="54">
        <v>0.32486047408519375</v>
      </c>
      <c r="CC48" s="54">
        <v>0.2759649288045104</v>
      </c>
      <c r="CD48" s="54">
        <v>5.5011283865068936</v>
      </c>
      <c r="CE48" s="54">
        <v>0.40175162962365618</v>
      </c>
      <c r="CF48" s="54">
        <v>0.11500346658259877</v>
      </c>
      <c r="CH48" s="192">
        <v>793035.00000000012</v>
      </c>
      <c r="CI48" s="192">
        <f>Original!AF48</f>
        <v>793035</v>
      </c>
    </row>
    <row r="49" spans="1:87" s="54" customFormat="1" ht="10.15" customHeight="1">
      <c r="A49" s="205" t="s">
        <v>481</v>
      </c>
      <c r="B49" s="192">
        <f t="shared" si="1"/>
        <v>1</v>
      </c>
      <c r="C49" s="192"/>
      <c r="D49" s="192"/>
      <c r="E49" s="192"/>
      <c r="F49" s="192"/>
      <c r="G49" s="192"/>
      <c r="H49" s="192"/>
      <c r="I49" s="192"/>
      <c r="J49" s="192"/>
      <c r="K49" s="231">
        <f>Original!K49/Original!K$69</f>
        <v>4.9110222793024537E-3</v>
      </c>
      <c r="L49" s="231">
        <f>Original!L49/Original!L$69</f>
        <v>0.11932873486248702</v>
      </c>
      <c r="M49" s="231">
        <f>Original!M49/Original!M$69</f>
        <v>5.2900267842741079E-2</v>
      </c>
      <c r="N49" s="231">
        <f>Original!N49/Original!N$69</f>
        <v>4.7264266912374293E-2</v>
      </c>
      <c r="O49" s="231">
        <f>Original!O49/Original!O$69</f>
        <v>3.1719131887131616E-2</v>
      </c>
      <c r="P49" s="231">
        <f>Original!P49/Original!P$69</f>
        <v>0.11737986018307631</v>
      </c>
      <c r="Q49" s="231">
        <f>Original!Q49/Original!Q$69</f>
        <v>8.1254442273108171E-2</v>
      </c>
      <c r="R49" s="231">
        <f>Original!R49/Original!R$69</f>
        <v>0.18347840458351697</v>
      </c>
      <c r="S49" s="231">
        <f>Original!S49/Original!S$69</f>
        <v>0.10484047007931198</v>
      </c>
      <c r="T49" s="231">
        <f>Original!T49/Original!T$69</f>
        <v>1.0360706602157578E-2</v>
      </c>
      <c r="U49" s="231">
        <f>Original!U49/Original!U$69</f>
        <v>0.12528564140042195</v>
      </c>
      <c r="V49" s="231">
        <f>Original!V49/Original!V$69</f>
        <v>8.5177571187863094E-2</v>
      </c>
      <c r="W49" s="231">
        <f>Original!W49/Original!W$69</f>
        <v>7.7543331495342885E-2</v>
      </c>
      <c r="X49" s="191"/>
      <c r="Y49" s="232">
        <f>Original!Y49/Original!Y$51</f>
        <v>6.093451614114144E-2</v>
      </c>
      <c r="Z49" s="232">
        <f>Original!Z49/Original!Z$51</f>
        <v>3.5773304338064645E-2</v>
      </c>
      <c r="AA49" s="232" t="e">
        <f>Original!AA49/Original!AA$51</f>
        <v>#DIV/0!</v>
      </c>
      <c r="AB49" s="232">
        <f>Original!AB49/Original!AB$51</f>
        <v>0.19060587670686643</v>
      </c>
      <c r="AC49" s="232">
        <f>Original!AC49/Original!AC$51</f>
        <v>3.6964769045576711E-2</v>
      </c>
      <c r="AD49" s="232">
        <f>Original!AD49/Original!AD$51</f>
        <v>0</v>
      </c>
      <c r="AE49" s="248">
        <f>Original!AE49-Original!AB49</f>
        <v>177689</v>
      </c>
      <c r="AF49" s="232">
        <f>Original!AF49/Original!AF$51</f>
        <v>0.13688259602644912</v>
      </c>
      <c r="AH49" s="54">
        <f>Original!K49/Original!K$71</f>
        <v>4.1619230896208581E-3</v>
      </c>
      <c r="AI49" s="54">
        <f>Original!L49/Original!L$71</f>
        <v>0.11113030690564027</v>
      </c>
      <c r="AJ49" s="54">
        <f>Original!M49/Original!M$71</f>
        <v>3.0825694710900027E-2</v>
      </c>
      <c r="AK49" s="54">
        <f>Original!N49/Original!N$71</f>
        <v>4.0324880486907973E-2</v>
      </c>
      <c r="AL49" s="54">
        <f>Original!O49/Original!O$71</f>
        <v>2.8434104533533157E-2</v>
      </c>
      <c r="AM49" s="54">
        <f>Original!P49/Original!P$71</f>
        <v>1.1714474516296354</v>
      </c>
      <c r="AN49" s="54">
        <f>Original!Q49/Original!Q$71</f>
        <v>8.9920955571822739E-2</v>
      </c>
      <c r="AO49" s="54">
        <f>Original!R49/Original!R$71</f>
        <v>0.14925467891347255</v>
      </c>
      <c r="AP49" s="54">
        <f>Original!S49/Original!S$71</f>
        <v>9.1845024722651353E-2</v>
      </c>
      <c r="AQ49" s="54">
        <f>Original!T49/Original!T$71</f>
        <v>9.2971936925860775E-3</v>
      </c>
      <c r="AR49" s="54">
        <f>Original!U49/Original!U$71</f>
        <v>0.1068742301297005</v>
      </c>
      <c r="AS49" s="54">
        <f>Original!V49/Original!V$71</f>
        <v>8.9354192131065643E-2</v>
      </c>
      <c r="BE49" s="54">
        <v>1</v>
      </c>
      <c r="BH49" s="256">
        <f>AU49-AH49-'Matriz consumo'!C35</f>
        <v>-4.1619230896208581E-3</v>
      </c>
      <c r="BI49" s="256">
        <f>AV49-AI49-'Matriz consumo'!D35</f>
        <v>-0.11113030690564027</v>
      </c>
      <c r="BJ49" s="256">
        <f>AW49-AJ49-'Matriz consumo'!E35</f>
        <v>-3.0825694710900027E-2</v>
      </c>
      <c r="BK49" s="256">
        <f>AX49-AK49-'Matriz consumo'!F35</f>
        <v>-4.0324880486907973E-2</v>
      </c>
      <c r="BL49" s="256">
        <f>AY49-AL49-'Matriz consumo'!G35</f>
        <v>-2.8434104533533157E-2</v>
      </c>
      <c r="BM49" s="256">
        <f>AZ49-AM49-'Matriz consumo'!H35</f>
        <v>-1.1714474516296354</v>
      </c>
      <c r="BN49" s="256">
        <f>BA49-AN49-'Matriz consumo'!I35</f>
        <v>-8.9920955571822739E-2</v>
      </c>
      <c r="BO49" s="256">
        <f>BB49-AO49-'Matriz consumo'!J35</f>
        <v>-0.14925467891347255</v>
      </c>
      <c r="BP49" s="256">
        <f>BC49-AP49-'Matriz consumo'!K35</f>
        <v>-9.1845024722651353E-2</v>
      </c>
      <c r="BQ49" s="256">
        <f>BD49-AQ49-'Matriz consumo'!L35</f>
        <v>-9.2971936925860775E-3</v>
      </c>
      <c r="BR49" s="256">
        <f>BE49-AR49-'Matriz consumo'!M35</f>
        <v>0.46220448507969009</v>
      </c>
      <c r="BS49" s="256">
        <f>BF49-AS49-'Matriz consumo'!N35</f>
        <v>-8.9354192131065643E-2</v>
      </c>
      <c r="BU49" s="54">
        <v>0.27381905222214448</v>
      </c>
      <c r="BV49" s="54">
        <v>0.56953947342521394</v>
      </c>
      <c r="BW49" s="54">
        <v>0.53624397457552286</v>
      </c>
      <c r="BX49" s="54">
        <v>0.54887911694518199</v>
      </c>
      <c r="BY49" s="54">
        <v>0.31587106538585463</v>
      </c>
      <c r="BZ49" s="54">
        <v>8.9846509704309341</v>
      </c>
      <c r="CA49" s="54">
        <v>0.86130433316137245</v>
      </c>
      <c r="CB49" s="54">
        <v>0.8114174933318038</v>
      </c>
      <c r="CC49" s="54">
        <v>0.73434905409951678</v>
      </c>
      <c r="CD49" s="54">
        <v>0.32998145827489805</v>
      </c>
      <c r="CE49" s="54">
        <v>2.4906023125547665</v>
      </c>
      <c r="CF49" s="54">
        <v>0.35097315626797815</v>
      </c>
      <c r="CH49" s="192">
        <v>2125358</v>
      </c>
      <c r="CI49" s="192">
        <f>Original!AF49</f>
        <v>2125358</v>
      </c>
    </row>
    <row r="50" spans="1:87" s="54" customFormat="1" ht="10.15" customHeight="1">
      <c r="A50" s="205" t="s">
        <v>482</v>
      </c>
      <c r="B50" s="192">
        <f t="shared" si="1"/>
        <v>1</v>
      </c>
      <c r="C50" s="192"/>
      <c r="D50" s="192"/>
      <c r="E50" s="192"/>
      <c r="F50" s="192"/>
      <c r="G50" s="192"/>
      <c r="H50" s="192"/>
      <c r="I50" s="192"/>
      <c r="J50" s="192"/>
      <c r="K50" s="231">
        <f>Original!K50/Original!K$69</f>
        <v>0</v>
      </c>
      <c r="L50" s="231">
        <f>Original!L50/Original!L$69</f>
        <v>0</v>
      </c>
      <c r="M50" s="231">
        <f>Original!M50/Original!M$69</f>
        <v>0</v>
      </c>
      <c r="N50" s="231">
        <f>Original!N50/Original!N$69</f>
        <v>0</v>
      </c>
      <c r="O50" s="231">
        <f>Original!O50/Original!O$69</f>
        <v>0</v>
      </c>
      <c r="P50" s="231">
        <f>Original!P50/Original!P$69</f>
        <v>0</v>
      </c>
      <c r="Q50" s="231">
        <f>Original!Q50/Original!Q$69</f>
        <v>0</v>
      </c>
      <c r="R50" s="231">
        <f>Original!R50/Original!R$69</f>
        <v>0</v>
      </c>
      <c r="S50" s="231">
        <f>Original!S50/Original!S$69</f>
        <v>0</v>
      </c>
      <c r="T50" s="231">
        <f>Original!T50/Original!T$69</f>
        <v>0</v>
      </c>
      <c r="U50" s="231">
        <f>Original!U50/Original!U$69</f>
        <v>0</v>
      </c>
      <c r="V50" s="231">
        <f>Original!V50/Original!V$69</f>
        <v>0</v>
      </c>
      <c r="W50" s="231">
        <f>Original!W50/Original!W$69</f>
        <v>0</v>
      </c>
      <c r="X50" s="191"/>
      <c r="Y50" s="232">
        <f>Original!Y50/Original!Y$51</f>
        <v>0</v>
      </c>
      <c r="Z50" s="232">
        <f>Original!Z50/Original!Z$51</f>
        <v>0.95632239571232025</v>
      </c>
      <c r="AA50" s="232" t="e">
        <f>Original!AA50/Original!AA$51</f>
        <v>#DIV/0!</v>
      </c>
      <c r="AB50" s="232">
        <f>Original!AB50/Original!AB$51</f>
        <v>0</v>
      </c>
      <c r="AC50" s="232">
        <f>Original!AC50/Original!AC$51</f>
        <v>0</v>
      </c>
      <c r="AD50" s="232">
        <f>Original!AD50/Original!AD$51</f>
        <v>0</v>
      </c>
      <c r="AE50" s="248">
        <f>Original!AE50-Original!AB50</f>
        <v>1465281</v>
      </c>
      <c r="AF50" s="232">
        <f>Original!AF50/Original!AF$51</f>
        <v>9.4370674111482103E-2</v>
      </c>
      <c r="AH50" s="54">
        <f>Original!K50/Original!K$71</f>
        <v>0</v>
      </c>
      <c r="AI50" s="54">
        <f>Original!L50/Original!L$71</f>
        <v>0</v>
      </c>
      <c r="AJ50" s="54">
        <f>Original!M50/Original!M$71</f>
        <v>0</v>
      </c>
      <c r="AK50" s="54">
        <f>Original!N50/Original!N$71</f>
        <v>0</v>
      </c>
      <c r="AL50" s="54">
        <f>Original!O50/Original!O$71</f>
        <v>0</v>
      </c>
      <c r="AM50" s="54">
        <f>Original!P50/Original!P$71</f>
        <v>0</v>
      </c>
      <c r="AN50" s="54">
        <f>Original!Q50/Original!Q$71</f>
        <v>0</v>
      </c>
      <c r="AO50" s="54">
        <f>Original!R50/Original!R$71</f>
        <v>0</v>
      </c>
      <c r="AP50" s="54">
        <f>Original!S50/Original!S$71</f>
        <v>0</v>
      </c>
      <c r="AQ50" s="54">
        <f>Original!T50/Original!T$71</f>
        <v>0</v>
      </c>
      <c r="AR50" s="54">
        <f>Original!U50/Original!U$71</f>
        <v>0</v>
      </c>
      <c r="AS50" s="54">
        <f>Original!V50/Original!V$71</f>
        <v>0</v>
      </c>
      <c r="BF50" s="54">
        <v>1</v>
      </c>
      <c r="BH50" s="256">
        <f>AU50-AH50-'Matriz consumo'!C36</f>
        <v>0</v>
      </c>
      <c r="BI50" s="256">
        <f>AV50-AI50-'Matriz consumo'!D36</f>
        <v>0</v>
      </c>
      <c r="BJ50" s="256">
        <f>AW50-AJ50-'Matriz consumo'!E36</f>
        <v>0</v>
      </c>
      <c r="BK50" s="256">
        <f>AX50-AK50-'Matriz consumo'!F36</f>
        <v>0</v>
      </c>
      <c r="BL50" s="256">
        <f>AY50-AL50-'Matriz consumo'!G36</f>
        <v>0</v>
      </c>
      <c r="BM50" s="256">
        <f>AZ50-AM50-'Matriz consumo'!H36</f>
        <v>0</v>
      </c>
      <c r="BN50" s="256">
        <f>BA50-AN50-'Matriz consumo'!I36</f>
        <v>0</v>
      </c>
      <c r="BO50" s="256">
        <f>BB50-AO50-'Matriz consumo'!J36</f>
        <v>0</v>
      </c>
      <c r="BP50" s="256">
        <f>BC50-AP50-'Matriz consumo'!K36</f>
        <v>0</v>
      </c>
      <c r="BQ50" s="256">
        <f>BD50-AQ50-'Matriz consumo'!L36</f>
        <v>0</v>
      </c>
      <c r="BR50" s="256">
        <f>BE50-AR50-'Matriz consumo'!M36</f>
        <v>0</v>
      </c>
      <c r="BS50" s="256">
        <f>BF50-AS50-'Matriz consumo'!N36</f>
        <v>1</v>
      </c>
      <c r="BU50" s="54">
        <v>0</v>
      </c>
      <c r="BV50" s="54">
        <v>0</v>
      </c>
      <c r="BW50" s="54">
        <v>0</v>
      </c>
      <c r="BX50" s="54">
        <v>0</v>
      </c>
      <c r="BY50" s="54">
        <v>0</v>
      </c>
      <c r="BZ50" s="54">
        <v>0</v>
      </c>
      <c r="CA50" s="54">
        <v>0</v>
      </c>
      <c r="CB50" s="54">
        <v>0</v>
      </c>
      <c r="CC50" s="54">
        <v>0</v>
      </c>
      <c r="CD50" s="54">
        <v>0</v>
      </c>
      <c r="CE50" s="54">
        <v>0</v>
      </c>
      <c r="CF50" s="54">
        <v>1</v>
      </c>
      <c r="CH50" s="192">
        <v>1465281</v>
      </c>
      <c r="CI50" s="192">
        <f>Original!AF50</f>
        <v>1465281</v>
      </c>
    </row>
    <row r="51" spans="1:87" s="54" customFormat="1" ht="10.15" customHeight="1">
      <c r="A51" s="187" t="s">
        <v>510</v>
      </c>
      <c r="B51" s="192">
        <f>SUM(B39:B50)</f>
        <v>12</v>
      </c>
      <c r="C51" s="192"/>
      <c r="D51" s="192"/>
      <c r="E51" s="192"/>
      <c r="F51" s="192"/>
      <c r="G51" s="192"/>
      <c r="H51" s="192"/>
      <c r="I51" s="192"/>
      <c r="J51" s="192"/>
      <c r="K51" s="231">
        <f>Original!K51/Original!K$69</f>
        <v>0.45382973028333884</v>
      </c>
      <c r="L51" s="231">
        <f>Original!L51/Original!L$69</f>
        <v>0.56198773389196688</v>
      </c>
      <c r="M51" s="231">
        <f>Original!M51/Original!M$69</f>
        <v>0.78413164407053049</v>
      </c>
      <c r="N51" s="231">
        <f>Original!N51/Original!N$69</f>
        <v>0.54015142685616646</v>
      </c>
      <c r="O51" s="231">
        <f>Original!O51/Original!O$69</f>
        <v>0.56257867334094147</v>
      </c>
      <c r="P51" s="231">
        <f>Original!P51/Original!P$69</f>
        <v>0.41237733624482131</v>
      </c>
      <c r="Q51" s="231">
        <f>Original!Q51/Original!Q$69</f>
        <v>0.56552939174846284</v>
      </c>
      <c r="R51" s="231">
        <f>Original!R51/Original!R$69</f>
        <v>0.45466523431761424</v>
      </c>
      <c r="S51" s="231">
        <f>Original!S51/Original!S$69</f>
        <v>0.35147944865409336</v>
      </c>
      <c r="T51" s="231">
        <f>Original!T51/Original!T$69</f>
        <v>7.8155673375668006E-2</v>
      </c>
      <c r="U51" s="231">
        <f>Original!U51/Original!U$69</f>
        <v>0.40301043835578659</v>
      </c>
      <c r="V51" s="231">
        <f>Original!V51/Original!V$69</f>
        <v>0.25386922381321031</v>
      </c>
      <c r="W51" s="231">
        <f>Original!W51/Original!W$69</f>
        <v>0.50437108298169897</v>
      </c>
      <c r="X51" s="191"/>
      <c r="Y51" s="233">
        <f t="shared" ref="Y51:AD51" si="2">SUM(Y39:Y50)</f>
        <v>1</v>
      </c>
      <c r="Z51" s="233">
        <f t="shared" si="2"/>
        <v>1</v>
      </c>
      <c r="AA51" s="233" t="e">
        <f t="shared" si="2"/>
        <v>#DIV/0!</v>
      </c>
      <c r="AB51" s="233">
        <f t="shared" si="2"/>
        <v>1</v>
      </c>
      <c r="AC51" s="233">
        <f t="shared" si="2"/>
        <v>0.99999999999999989</v>
      </c>
      <c r="AD51" s="233">
        <f t="shared" si="2"/>
        <v>1</v>
      </c>
      <c r="AE51" s="248">
        <f>Original!AE51-Original!AB51</f>
        <v>4010602</v>
      </c>
      <c r="AF51" s="233">
        <f>W51+AE51</f>
        <v>4010602.5043710829</v>
      </c>
    </row>
    <row r="52" spans="1:87" s="54" customFormat="1" ht="10.15" customHeight="1">
      <c r="A52" s="208" t="s">
        <v>525</v>
      </c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9"/>
      <c r="Z52" s="192"/>
      <c r="AA52" s="192"/>
      <c r="AB52" s="192"/>
      <c r="AC52" s="192"/>
      <c r="AD52" s="192"/>
    </row>
    <row r="53" spans="1:87" s="54" customFormat="1" ht="6.75" customHeight="1" thickBot="1">
      <c r="A53" s="187"/>
      <c r="B53" s="190"/>
      <c r="C53" s="190"/>
      <c r="D53" s="190"/>
      <c r="E53" s="190"/>
      <c r="F53" s="190"/>
      <c r="G53" s="190"/>
      <c r="H53" s="190"/>
      <c r="I53" s="190"/>
      <c r="J53" s="190"/>
      <c r="K53" s="231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190"/>
      <c r="Y53" s="190"/>
      <c r="Z53" s="210"/>
      <c r="AA53" s="190"/>
      <c r="AB53" s="190"/>
      <c r="AC53" s="190"/>
      <c r="AD53" s="190"/>
      <c r="AE53" s="190"/>
      <c r="AF53" s="190"/>
    </row>
    <row r="54" spans="1:87" s="54" customFormat="1" ht="10.15" customHeight="1" thickTop="1">
      <c r="A54" s="187" t="s">
        <v>460</v>
      </c>
      <c r="B54" s="192"/>
      <c r="C54" s="192"/>
      <c r="D54" s="192"/>
      <c r="E54" s="192"/>
      <c r="F54" s="192"/>
      <c r="G54" s="192"/>
      <c r="H54" s="192"/>
      <c r="I54" s="192">
        <f>I24</f>
        <v>6.5348658853801034E-2</v>
      </c>
      <c r="J54" s="192"/>
      <c r="K54" s="231">
        <f>Original!K54/Original!K$69</f>
        <v>0.54617026971666116</v>
      </c>
      <c r="L54" s="231">
        <f>Original!L54/Original!L$69</f>
        <v>0.43801226610803312</v>
      </c>
      <c r="M54" s="231">
        <f>Original!M54/Original!M$69</f>
        <v>0.21586835592946949</v>
      </c>
      <c r="N54" s="231">
        <f>Original!N54/Original!N$69</f>
        <v>0.45984857314383354</v>
      </c>
      <c r="O54" s="231">
        <f>Original!O54/Original!O$69</f>
        <v>0.43742132665905853</v>
      </c>
      <c r="P54" s="231">
        <f>Original!P54/Original!P$69</f>
        <v>0.58762266375517869</v>
      </c>
      <c r="Q54" s="231">
        <f>Original!Q54/Original!Q$69</f>
        <v>0.43447060825153722</v>
      </c>
      <c r="R54" s="231">
        <f>Original!R54/Original!R$69</f>
        <v>0.54533476568238581</v>
      </c>
      <c r="S54" s="231">
        <f>Original!S54/Original!S$69</f>
        <v>0.64852055134590669</v>
      </c>
      <c r="T54" s="231">
        <f>Original!T54/Original!T$69</f>
        <v>0.92184432662433202</v>
      </c>
      <c r="U54" s="231">
        <f>Original!U54/Original!U$69</f>
        <v>0.59698956164421335</v>
      </c>
      <c r="V54" s="231">
        <f>Original!V54/Original!V$69</f>
        <v>0.74613077618678969</v>
      </c>
      <c r="W54" s="231">
        <f>Original!W54/Original!W$69</f>
        <v>0.49562891701830103</v>
      </c>
      <c r="X54" s="192">
        <f t="shared" ref="X54:X70" si="3">I54+W54</f>
        <v>0.56097757587210206</v>
      </c>
      <c r="AA54" s="211"/>
      <c r="AB54" s="212"/>
      <c r="AC54" s="212"/>
      <c r="AD54" s="212"/>
      <c r="AE54" s="213"/>
    </row>
    <row r="55" spans="1:87" s="54" customFormat="1" ht="10.15" customHeight="1">
      <c r="A55" s="187" t="s">
        <v>461</v>
      </c>
      <c r="B55" s="192"/>
      <c r="C55" s="192"/>
      <c r="D55" s="192"/>
      <c r="E55" s="192"/>
      <c r="F55" s="192"/>
      <c r="G55" s="192"/>
      <c r="H55" s="192"/>
      <c r="I55" s="192"/>
      <c r="J55" s="192"/>
      <c r="K55" s="231">
        <f>Original!K55/Original!K$69</f>
        <v>7.0908224956990853E-2</v>
      </c>
      <c r="L55" s="231">
        <f>Original!L55/Original!L$69</f>
        <v>7.0198696471514443E-2</v>
      </c>
      <c r="M55" s="231">
        <f>Original!M55/Original!M$69</f>
        <v>0.11458315646939971</v>
      </c>
      <c r="N55" s="231">
        <f>Original!N55/Original!N$69</f>
        <v>9.3107944962077319E-2</v>
      </c>
      <c r="O55" s="231">
        <f>Original!O55/Original!O$69</f>
        <v>0.17994093070868455</v>
      </c>
      <c r="P55" s="231">
        <f>Original!P55/Original!P$69</f>
        <v>0.28782721310938514</v>
      </c>
      <c r="Q55" s="231">
        <f>Original!Q55/Original!Q$69</f>
        <v>0.22963232686861684</v>
      </c>
      <c r="R55" s="231">
        <f>Original!R55/Original!R$69</f>
        <v>0.24401581092992508</v>
      </c>
      <c r="S55" s="231">
        <f>Original!S55/Original!S$69</f>
        <v>0.25864491948243906</v>
      </c>
      <c r="T55" s="231">
        <f>Original!T55/Original!T$69</f>
        <v>1.26807291981378E-2</v>
      </c>
      <c r="U55" s="231">
        <f>Original!U55/Original!U$69</f>
        <v>0.35640931592228459</v>
      </c>
      <c r="V55" s="231">
        <f>Original!V55/Original!V$69</f>
        <v>0.6693962124218511</v>
      </c>
      <c r="W55" s="231">
        <f>Original!W55/Original!W$69</f>
        <v>0.23991396791826125</v>
      </c>
      <c r="X55" s="192">
        <f t="shared" si="3"/>
        <v>0.23991396791826125</v>
      </c>
      <c r="AA55" s="214" t="s">
        <v>526</v>
      </c>
      <c r="AB55" s="215"/>
      <c r="AC55" s="215"/>
      <c r="AD55" s="215"/>
      <c r="AE55" s="216"/>
    </row>
    <row r="56" spans="1:87" s="54" customFormat="1" ht="10.15" customHeight="1">
      <c r="A56" s="187" t="s">
        <v>424</v>
      </c>
      <c r="B56" s="192"/>
      <c r="C56" s="192"/>
      <c r="D56" s="192"/>
      <c r="E56" s="192"/>
      <c r="F56" s="192"/>
      <c r="G56" s="192"/>
      <c r="H56" s="192"/>
      <c r="I56" s="192"/>
      <c r="J56" s="192"/>
      <c r="K56" s="231">
        <f>Original!K56/Original!K$69</f>
        <v>6.0897681590326741E-2</v>
      </c>
      <c r="L56" s="231">
        <f>Original!L56/Original!L$69</f>
        <v>5.3265494953973813E-2</v>
      </c>
      <c r="M56" s="231">
        <f>Original!M56/Original!M$69</f>
        <v>9.0907619722733951E-2</v>
      </c>
      <c r="N56" s="231">
        <f>Original!N56/Original!N$69</f>
        <v>6.9006313483939208E-2</v>
      </c>
      <c r="O56" s="231">
        <f>Original!O56/Original!O$69</f>
        <v>0.14736629001422039</v>
      </c>
      <c r="P56" s="231">
        <f>Original!P56/Original!P$69</f>
        <v>0.22933236315377656</v>
      </c>
      <c r="Q56" s="231">
        <f>Original!Q56/Original!Q$69</f>
        <v>0.1841625311456016</v>
      </c>
      <c r="R56" s="231">
        <f>Original!R56/Original!R$69</f>
        <v>0.19380325400323198</v>
      </c>
      <c r="S56" s="231">
        <f>Original!S56/Original!S$69</f>
        <v>0.20013325667032386</v>
      </c>
      <c r="T56" s="231">
        <f>Original!T56/Original!T$69</f>
        <v>9.9068196860451554E-3</v>
      </c>
      <c r="U56" s="231">
        <f>Original!U56/Original!U$69</f>
        <v>0.3007327532714662</v>
      </c>
      <c r="V56" s="231">
        <f>Original!V56/Original!V$69</f>
        <v>0.50791409965324985</v>
      </c>
      <c r="W56" s="231">
        <f>Original!W56/Original!W$69</f>
        <v>0.19028431785816521</v>
      </c>
      <c r="X56" s="192">
        <f t="shared" si="3"/>
        <v>0.19028431785816521</v>
      </c>
      <c r="AA56" s="217"/>
      <c r="AB56" s="215"/>
      <c r="AC56" s="215"/>
      <c r="AD56" s="215"/>
      <c r="AE56" s="218"/>
    </row>
    <row r="57" spans="1:87" s="54" customFormat="1" ht="10.15" customHeight="1">
      <c r="A57" s="187" t="s">
        <v>462</v>
      </c>
      <c r="B57" s="192"/>
      <c r="C57" s="192"/>
      <c r="D57" s="192"/>
      <c r="E57" s="192"/>
      <c r="F57" s="192"/>
      <c r="G57" s="192"/>
      <c r="H57" s="192"/>
      <c r="I57" s="192"/>
      <c r="J57" s="192"/>
      <c r="K57" s="231">
        <f>Original!K57/Original!K$69</f>
        <v>1.0010543366664111E-2</v>
      </c>
      <c r="L57" s="231">
        <f>Original!L57/Original!L$69</f>
        <v>1.6933201517540623E-2</v>
      </c>
      <c r="M57" s="231">
        <f>Original!M57/Original!M$69</f>
        <v>2.3675536746665761E-2</v>
      </c>
      <c r="N57" s="231">
        <f>Original!N57/Original!N$69</f>
        <v>2.4101631478138104E-2</v>
      </c>
      <c r="O57" s="231">
        <f>Original!O57/Original!O$69</f>
        <v>3.2574640694464176E-2</v>
      </c>
      <c r="P57" s="231">
        <f>Original!P57/Original!P$69</f>
        <v>5.8494849955608587E-2</v>
      </c>
      <c r="Q57" s="231">
        <f>Original!Q57/Original!Q$69</f>
        <v>4.5469795723015231E-2</v>
      </c>
      <c r="R57" s="231">
        <f>Original!R57/Original!R$69</f>
        <v>5.021255692669311E-2</v>
      </c>
      <c r="S57" s="231">
        <f>Original!S57/Original!S$69</f>
        <v>5.8511662812115228E-2</v>
      </c>
      <c r="T57" s="231">
        <f>Original!T57/Original!T$69</f>
        <v>2.7739095120926436E-3</v>
      </c>
      <c r="U57" s="231">
        <f>Original!U57/Original!U$69</f>
        <v>5.5676562650818384E-2</v>
      </c>
      <c r="V57" s="231">
        <f>Original!V57/Original!V$69</f>
        <v>9.7879814979865074E-2</v>
      </c>
      <c r="W57" s="231">
        <f>Original!W57/Original!W$69</f>
        <v>4.2282322697864354E-2</v>
      </c>
      <c r="X57" s="192">
        <f t="shared" si="3"/>
        <v>4.2282322697864354E-2</v>
      </c>
      <c r="AA57" s="214" t="s">
        <v>484</v>
      </c>
      <c r="AB57" s="215"/>
      <c r="AC57" s="215"/>
      <c r="AD57" s="215"/>
      <c r="AE57" s="216"/>
    </row>
    <row r="58" spans="1:87" s="54" customFormat="1" ht="10.15" customHeight="1">
      <c r="A58" s="54" t="s">
        <v>463</v>
      </c>
      <c r="B58" s="192"/>
      <c r="C58" s="192"/>
      <c r="D58" s="192"/>
      <c r="E58" s="192"/>
      <c r="F58" s="192"/>
      <c r="G58" s="192"/>
      <c r="H58" s="192"/>
      <c r="I58" s="192"/>
      <c r="J58" s="192"/>
      <c r="K58" s="231">
        <f>Original!K58/Original!K$69</f>
        <v>1.0010543366664111E-2</v>
      </c>
      <c r="L58" s="231">
        <f>Original!L58/Original!L$69</f>
        <v>1.4573638500467162E-2</v>
      </c>
      <c r="M58" s="231">
        <f>Original!M58/Original!M$69</f>
        <v>2.2693941915054375E-2</v>
      </c>
      <c r="N58" s="231">
        <f>Original!N58/Original!N$69</f>
        <v>2.0237893658148265E-2</v>
      </c>
      <c r="O58" s="231">
        <f>Original!O58/Original!O$69</f>
        <v>3.20685190718056E-2</v>
      </c>
      <c r="P58" s="231">
        <f>Original!P58/Original!P$69</f>
        <v>5.7973686964731076E-2</v>
      </c>
      <c r="Q58" s="231">
        <f>Original!Q58/Original!Q$69</f>
        <v>4.2947936161653426E-2</v>
      </c>
      <c r="R58" s="231">
        <f>Original!R58/Original!R$69</f>
        <v>4.6257529014250037E-2</v>
      </c>
      <c r="S58" s="231">
        <f>Original!S58/Original!S$69</f>
        <v>4.9877087129032119E-2</v>
      </c>
      <c r="T58" s="231">
        <f>Original!T58/Original!T$69</f>
        <v>2.7078640475190091E-3</v>
      </c>
      <c r="U58" s="231">
        <f>Original!U58/Original!U$69</f>
        <v>5.4667751409936433E-2</v>
      </c>
      <c r="V58" s="231">
        <f>Original!V58/Original!V$69</f>
        <v>9.6281381535719163E-2</v>
      </c>
      <c r="W58" s="231">
        <f>Original!W58/Original!W$69</f>
        <v>4.0686374824245454E-2</v>
      </c>
      <c r="X58" s="192">
        <f t="shared" si="3"/>
        <v>4.0686374824245454E-2</v>
      </c>
      <c r="AA58" s="219"/>
      <c r="AB58" s="376" t="s">
        <v>527</v>
      </c>
      <c r="AC58" s="378" t="s">
        <v>528</v>
      </c>
      <c r="AD58" s="380" t="s">
        <v>529</v>
      </c>
      <c r="AE58" s="220"/>
    </row>
    <row r="59" spans="1:87" s="54" customFormat="1" ht="10.15" customHeight="1">
      <c r="A59" s="187" t="s">
        <v>464</v>
      </c>
      <c r="B59" s="192"/>
      <c r="C59" s="192"/>
      <c r="D59" s="192"/>
      <c r="E59" s="192"/>
      <c r="F59" s="192"/>
      <c r="G59" s="192"/>
      <c r="H59" s="192"/>
      <c r="I59" s="192"/>
      <c r="J59" s="192"/>
      <c r="K59" s="231">
        <f>Original!K59/Original!K$69</f>
        <v>0</v>
      </c>
      <c r="L59" s="231">
        <f>Original!L59/Original!L$69</f>
        <v>2.3595630170734632E-3</v>
      </c>
      <c r="M59" s="231">
        <f>Original!M59/Original!M$69</f>
        <v>9.81594831611386E-4</v>
      </c>
      <c r="N59" s="231">
        <f>Original!N59/Original!N$69</f>
        <v>3.8637378199898403E-3</v>
      </c>
      <c r="O59" s="231">
        <f>Original!O59/Original!O$69</f>
        <v>5.061216226585752E-4</v>
      </c>
      <c r="P59" s="231">
        <f>Original!P59/Original!P$69</f>
        <v>5.211629908775117E-4</v>
      </c>
      <c r="Q59" s="231">
        <f>Original!Q59/Original!Q$69</f>
        <v>2.5218595613618043E-3</v>
      </c>
      <c r="R59" s="231">
        <f>Original!R59/Original!R$69</f>
        <v>3.9550279124430732E-3</v>
      </c>
      <c r="S59" s="231">
        <f>Original!S59/Original!S$69</f>
        <v>8.6345756830831077E-3</v>
      </c>
      <c r="T59" s="231">
        <f>Original!T59/Original!T$69</f>
        <v>6.6045464573634373E-5</v>
      </c>
      <c r="U59" s="231">
        <f>Original!U59/Original!U$69</f>
        <v>1.0088112408819514E-3</v>
      </c>
      <c r="V59" s="231">
        <f>Original!V59/Original!V$69</f>
        <v>1.5984334441459082E-3</v>
      </c>
      <c r="W59" s="231">
        <f>Original!W59/Original!W$69</f>
        <v>1.595947873618905E-3</v>
      </c>
      <c r="X59" s="192">
        <f t="shared" si="3"/>
        <v>1.595947873618905E-3</v>
      </c>
      <c r="AA59" s="219"/>
      <c r="AB59" s="377"/>
      <c r="AC59" s="379"/>
      <c r="AD59" s="381"/>
      <c r="AE59" s="220"/>
    </row>
    <row r="60" spans="1:87" s="54" customFormat="1" ht="10.15" customHeight="1">
      <c r="A60" s="187" t="s">
        <v>465</v>
      </c>
      <c r="B60" s="192"/>
      <c r="C60" s="192"/>
      <c r="D60" s="192"/>
      <c r="E60" s="192"/>
      <c r="F60" s="192"/>
      <c r="G60" s="192"/>
      <c r="H60" s="192"/>
      <c r="I60" s="192"/>
      <c r="J60" s="192"/>
      <c r="K60" s="231">
        <f>Original!K60/Original!K$69</f>
        <v>0</v>
      </c>
      <c r="L60" s="231">
        <f>Original!L60/Original!L$69</f>
        <v>0</v>
      </c>
      <c r="M60" s="231">
        <f>Original!M60/Original!M$69</f>
        <v>0</v>
      </c>
      <c r="N60" s="231">
        <f>Original!N60/Original!N$69</f>
        <v>0</v>
      </c>
      <c r="O60" s="231">
        <f>Original!O60/Original!O$69</f>
        <v>0</v>
      </c>
      <c r="P60" s="231">
        <f>Original!P60/Original!P$69</f>
        <v>0</v>
      </c>
      <c r="Q60" s="231">
        <f>Original!Q60/Original!Q$69</f>
        <v>0</v>
      </c>
      <c r="R60" s="231">
        <f>Original!R60/Original!R$69</f>
        <v>0</v>
      </c>
      <c r="S60" s="231">
        <f>Original!S60/Original!S$69</f>
        <v>0</v>
      </c>
      <c r="T60" s="231">
        <f>Original!T60/Original!T$69</f>
        <v>0</v>
      </c>
      <c r="U60" s="231">
        <f>Original!U60/Original!U$69</f>
        <v>0</v>
      </c>
      <c r="V60" s="231">
        <f>Original!V60/Original!V$69</f>
        <v>6.3602297788736148E-2</v>
      </c>
      <c r="W60" s="231">
        <f>Original!W60/Original!W$69</f>
        <v>7.3473273622316933E-3</v>
      </c>
      <c r="X60" s="192">
        <f t="shared" si="3"/>
        <v>7.3473273622316933E-3</v>
      </c>
      <c r="AA60" s="219"/>
      <c r="AB60" s="188"/>
      <c r="AC60" s="188"/>
      <c r="AD60" s="188"/>
      <c r="AE60" s="218"/>
    </row>
    <row r="61" spans="1:87" s="54" customFormat="1" ht="10.15" customHeight="1">
      <c r="A61" s="54" t="s">
        <v>466</v>
      </c>
      <c r="B61" s="192"/>
      <c r="C61" s="192"/>
      <c r="D61" s="192"/>
      <c r="E61" s="192"/>
      <c r="F61" s="192"/>
      <c r="G61" s="192"/>
      <c r="H61" s="192"/>
      <c r="I61" s="192"/>
      <c r="J61" s="192"/>
      <c r="K61" s="231">
        <f>Original!K61/Original!K$69</f>
        <v>0.47846275452051557</v>
      </c>
      <c r="L61" s="231">
        <f>Original!L61/Original!L$69</f>
        <v>0.3618750721103271</v>
      </c>
      <c r="M61" s="231">
        <f>Original!M61/Original!M$69</f>
        <v>9.389405567393648E-2</v>
      </c>
      <c r="N61" s="231">
        <f>Original!N61/Original!N$69</f>
        <v>0.3576541371901808</v>
      </c>
      <c r="O61" s="231">
        <f>Original!O61/Original!O$69</f>
        <v>0.25209591494544498</v>
      </c>
      <c r="P61" s="231">
        <f>Original!P61/Original!P$69</f>
        <v>0.2905861018930605</v>
      </c>
      <c r="Q61" s="231">
        <f>Original!Q61/Original!Q$69</f>
        <v>0.1960022324658412</v>
      </c>
      <c r="R61" s="231">
        <f>Original!R61/Original!R$69</f>
        <v>0.28828320111649774</v>
      </c>
      <c r="S61" s="231">
        <f>Original!S61/Original!S$69</f>
        <v>0.376661249844843</v>
      </c>
      <c r="T61" s="231">
        <f>Original!T61/Original!T$69</f>
        <v>0.90828392804697944</v>
      </c>
      <c r="U61" s="231">
        <f>Original!U61/Original!U$69</f>
        <v>0.23137684256973842</v>
      </c>
      <c r="V61" s="231">
        <f>Original!V61/Original!V$69</f>
        <v>7.6553707233610685E-2</v>
      </c>
      <c r="W61" s="231">
        <f>Original!W61/Original!W$69</f>
        <v>0.24922241129867365</v>
      </c>
      <c r="X61" s="192">
        <f t="shared" si="3"/>
        <v>0.24922241129867365</v>
      </c>
      <c r="AA61" s="214" t="s">
        <v>511</v>
      </c>
      <c r="AB61" s="215"/>
      <c r="AC61" s="215"/>
      <c r="AD61" s="215"/>
      <c r="AE61" s="216"/>
    </row>
    <row r="62" spans="1:87" s="54" customFormat="1" ht="10.15" customHeight="1">
      <c r="A62" s="187" t="s">
        <v>467</v>
      </c>
      <c r="B62" s="192"/>
      <c r="C62" s="192"/>
      <c r="D62" s="192"/>
      <c r="E62" s="192"/>
      <c r="F62" s="192"/>
      <c r="G62" s="192"/>
      <c r="H62" s="192"/>
      <c r="I62" s="192"/>
      <c r="J62" s="192"/>
      <c r="K62" s="231">
        <f>Original!K62/Original!K$69</f>
        <v>0.25550510768936907</v>
      </c>
      <c r="L62" s="231">
        <f>Original!L62/Original!L$69</f>
        <v>5.5652205388309866E-4</v>
      </c>
      <c r="M62" s="231">
        <f>Original!M62/Original!M$69</f>
        <v>7.1624587199578919E-3</v>
      </c>
      <c r="N62" s="231">
        <f>Original!N62/Original!N$69</f>
        <v>2.9511304236917277E-3</v>
      </c>
      <c r="O62" s="231">
        <f>Original!O62/Original!O$69</f>
        <v>0.10753288566059484</v>
      </c>
      <c r="P62" s="231">
        <f>Original!P62/Original!P$69</f>
        <v>5.8912065136830206E-2</v>
      </c>
      <c r="Q62" s="231">
        <f>Original!Q62/Original!Q$69</f>
        <v>4.657171796514873E-2</v>
      </c>
      <c r="R62" s="231">
        <f>Original!R62/Original!R$69</f>
        <v>2.6849658439841339E-2</v>
      </c>
      <c r="S62" s="231">
        <f>Original!S62/Original!S$69</f>
        <v>4.6240349948566345E-3</v>
      </c>
      <c r="T62" s="231">
        <f>Original!T62/Original!T$69</f>
        <v>6.247619904135711E-3</v>
      </c>
      <c r="U62" s="231">
        <f>Original!U62/Original!U$69</f>
        <v>0.11261565615476897</v>
      </c>
      <c r="V62" s="231">
        <f>Original!V62/Original!V$69</f>
        <v>0</v>
      </c>
      <c r="W62" s="231">
        <f>Original!W62/Original!W$69</f>
        <v>4.7599167876566401E-2</v>
      </c>
      <c r="X62" s="192">
        <f t="shared" si="3"/>
        <v>4.7599167876566401E-2</v>
      </c>
      <c r="AA62" s="221"/>
      <c r="AB62" s="376" t="s">
        <v>530</v>
      </c>
      <c r="AC62" s="382" t="s">
        <v>531</v>
      </c>
      <c r="AD62" s="368" t="s">
        <v>532</v>
      </c>
      <c r="AE62" s="218"/>
    </row>
    <row r="63" spans="1:87" s="54" customFormat="1" ht="10.15" customHeight="1">
      <c r="A63" s="187" t="s">
        <v>468</v>
      </c>
      <c r="B63" s="192"/>
      <c r="C63" s="192"/>
      <c r="D63" s="192"/>
      <c r="E63" s="192"/>
      <c r="F63" s="192"/>
      <c r="G63" s="192"/>
      <c r="H63" s="192"/>
      <c r="I63" s="192"/>
      <c r="J63" s="192"/>
      <c r="K63" s="231">
        <f>Original!K63/Original!K$69</f>
        <v>0.22295764683114655</v>
      </c>
      <c r="L63" s="231">
        <f>Original!L63/Original!L$69</f>
        <v>0.36131855005644403</v>
      </c>
      <c r="M63" s="231">
        <f>Original!M63/Original!M$69</f>
        <v>8.6731596953978585E-2</v>
      </c>
      <c r="N63" s="231">
        <f>Original!N63/Original!N$69</f>
        <v>0.35470300676648908</v>
      </c>
      <c r="O63" s="231">
        <f>Original!O63/Original!O$69</f>
        <v>0.14456302928485015</v>
      </c>
      <c r="P63" s="231">
        <f>Original!P63/Original!P$69</f>
        <v>0.23167403675623027</v>
      </c>
      <c r="Q63" s="231">
        <f>Original!Q63/Original!Q$69</f>
        <v>0.14943051450069247</v>
      </c>
      <c r="R63" s="231">
        <f>Original!R63/Original!R$69</f>
        <v>0.26143354267665636</v>
      </c>
      <c r="S63" s="231">
        <f>Original!S63/Original!S$69</f>
        <v>0.37203721484998636</v>
      </c>
      <c r="T63" s="231">
        <f>Original!T63/Original!T$69</f>
        <v>0.90203630814284375</v>
      </c>
      <c r="U63" s="231">
        <f>Original!U63/Original!U$69</f>
        <v>0.11876118641496945</v>
      </c>
      <c r="V63" s="231">
        <f>Original!V63/Original!V$69</f>
        <v>7.6553707233610685E-2</v>
      </c>
      <c r="W63" s="231">
        <f>Original!W63/Original!W$69</f>
        <v>0.20162324342210725</v>
      </c>
      <c r="X63" s="192">
        <f t="shared" si="3"/>
        <v>0.20162324342210725</v>
      </c>
      <c r="AA63" s="219"/>
      <c r="AB63" s="376"/>
      <c r="AC63" s="382"/>
      <c r="AD63" s="368"/>
      <c r="AE63" s="218"/>
    </row>
    <row r="64" spans="1:87" s="54" customFormat="1" ht="10.15" customHeight="1">
      <c r="A64" s="187" t="s">
        <v>533</v>
      </c>
      <c r="B64" s="192"/>
      <c r="C64" s="192"/>
      <c r="D64" s="192"/>
      <c r="E64" s="192"/>
      <c r="F64" s="192"/>
      <c r="G64" s="192"/>
      <c r="H64" s="192"/>
      <c r="I64" s="192">
        <f>I65+I66</f>
        <v>1014660</v>
      </c>
      <c r="J64" s="192"/>
      <c r="K64" s="231">
        <f>Original!K64/Original!K$69</f>
        <v>-3.2007097608452791E-3</v>
      </c>
      <c r="L64" s="231">
        <f>Original!L64/Original!L$69</f>
        <v>5.9384975261916016E-3</v>
      </c>
      <c r="M64" s="231">
        <f>Original!M64/Original!M$69</f>
        <v>7.3911437861333019E-3</v>
      </c>
      <c r="N64" s="231">
        <f>Original!N64/Original!N$69</f>
        <v>9.0864909915754251E-3</v>
      </c>
      <c r="O64" s="231">
        <f>Original!O64/Original!O$69</f>
        <v>5.3844810049289713E-3</v>
      </c>
      <c r="P64" s="231">
        <f>Original!P64/Original!P$69</f>
        <v>9.2093487527330799E-3</v>
      </c>
      <c r="Q64" s="231">
        <f>Original!Q64/Original!Q$69</f>
        <v>8.8360489170791583E-3</v>
      </c>
      <c r="R64" s="231">
        <f>Original!R64/Original!R$69</f>
        <v>1.3035753635962979E-2</v>
      </c>
      <c r="S64" s="231">
        <f>Original!S64/Original!S$69</f>
        <v>1.3214382018624547E-2</v>
      </c>
      <c r="T64" s="231">
        <f>Original!T64/Original!T$69</f>
        <v>8.7966937921478969E-4</v>
      </c>
      <c r="U64" s="231">
        <f>Original!U64/Original!U$69</f>
        <v>9.2034031521903998E-3</v>
      </c>
      <c r="V64" s="231">
        <f>Original!V64/Original!V$69</f>
        <v>1.8085653132786427E-4</v>
      </c>
      <c r="W64" s="231">
        <f>Original!W64/Original!W$69</f>
        <v>6.4925378013661154E-3</v>
      </c>
      <c r="X64" s="192">
        <f t="shared" si="3"/>
        <v>1014660.0064925378</v>
      </c>
      <c r="AA64" s="219"/>
      <c r="AB64" s="376"/>
      <c r="AC64" s="382"/>
      <c r="AD64" s="368"/>
      <c r="AE64" s="218"/>
    </row>
    <row r="65" spans="1:31" s="54" customFormat="1" ht="10.15" customHeight="1">
      <c r="A65" s="187" t="s">
        <v>534</v>
      </c>
      <c r="B65" s="192"/>
      <c r="C65" s="192"/>
      <c r="D65" s="192"/>
      <c r="E65" s="192"/>
      <c r="F65" s="192"/>
      <c r="G65" s="192"/>
      <c r="H65" s="192"/>
      <c r="I65" s="192">
        <v>1020210</v>
      </c>
      <c r="J65" s="192"/>
      <c r="K65" s="231">
        <f>Original!K65/Original!K$69</f>
        <v>0</v>
      </c>
      <c r="L65" s="231">
        <f>Original!L65/Original!L$69</f>
        <v>0</v>
      </c>
      <c r="M65" s="231">
        <f>Original!M65/Original!M$69</f>
        <v>0</v>
      </c>
      <c r="N65" s="231">
        <f>Original!N65/Original!N$69</f>
        <v>0</v>
      </c>
      <c r="O65" s="231">
        <f>Original!O65/Original!O$69</f>
        <v>0</v>
      </c>
      <c r="P65" s="231">
        <f>Original!P65/Original!P$69</f>
        <v>0</v>
      </c>
      <c r="Q65" s="231">
        <f>Original!Q65/Original!Q$69</f>
        <v>0</v>
      </c>
      <c r="R65" s="231">
        <f>Original!R65/Original!R$69</f>
        <v>0</v>
      </c>
      <c r="S65" s="231">
        <f>Original!S65/Original!S$69</f>
        <v>0</v>
      </c>
      <c r="T65" s="231">
        <f>Original!T65/Original!T$69</f>
        <v>0</v>
      </c>
      <c r="U65" s="231">
        <f>Original!U65/Original!U$69</f>
        <v>0</v>
      </c>
      <c r="V65" s="231">
        <f>Original!V65/Original!V$69</f>
        <v>0</v>
      </c>
      <c r="W65" s="231">
        <f>Original!W65/Original!W$69</f>
        <v>0</v>
      </c>
      <c r="X65" s="192">
        <f t="shared" si="3"/>
        <v>1020210</v>
      </c>
      <c r="AA65" s="219"/>
      <c r="AB65" s="376"/>
      <c r="AC65" s="382"/>
      <c r="AD65" s="368"/>
      <c r="AE65" s="218"/>
    </row>
    <row r="66" spans="1:31" s="54" customFormat="1" ht="10.15" customHeight="1">
      <c r="A66" s="187" t="s">
        <v>535</v>
      </c>
      <c r="B66" s="192"/>
      <c r="C66" s="192"/>
      <c r="D66" s="192"/>
      <c r="E66" s="192"/>
      <c r="F66" s="192"/>
      <c r="G66" s="192"/>
      <c r="H66" s="192"/>
      <c r="I66" s="192">
        <v>-5550</v>
      </c>
      <c r="J66" s="192"/>
      <c r="K66" s="231">
        <f>Original!K66/Original!K$69</f>
        <v>0</v>
      </c>
      <c r="L66" s="231">
        <f>Original!L66/Original!L$69</f>
        <v>0</v>
      </c>
      <c r="M66" s="231">
        <f>Original!M66/Original!M$69</f>
        <v>0</v>
      </c>
      <c r="N66" s="231">
        <f>Original!N66/Original!N$69</f>
        <v>0</v>
      </c>
      <c r="O66" s="231">
        <f>Original!O66/Original!O$69</f>
        <v>0</v>
      </c>
      <c r="P66" s="231">
        <f>Original!P66/Original!P$69</f>
        <v>0</v>
      </c>
      <c r="Q66" s="231">
        <f>Original!Q66/Original!Q$69</f>
        <v>0</v>
      </c>
      <c r="R66" s="231">
        <f>Original!R66/Original!R$69</f>
        <v>0</v>
      </c>
      <c r="S66" s="231">
        <f>Original!S66/Original!S$69</f>
        <v>0</v>
      </c>
      <c r="T66" s="231">
        <f>Original!T66/Original!T$69</f>
        <v>0</v>
      </c>
      <c r="U66" s="231">
        <f>Original!U66/Original!U$69</f>
        <v>0</v>
      </c>
      <c r="V66" s="231">
        <f>Original!V66/Original!V$69</f>
        <v>0</v>
      </c>
      <c r="W66" s="231">
        <f>Original!W66/Original!W$69</f>
        <v>0</v>
      </c>
      <c r="X66" s="192">
        <f t="shared" si="3"/>
        <v>-5550</v>
      </c>
      <c r="AA66" s="219"/>
      <c r="AB66" s="188"/>
      <c r="AC66" s="188"/>
      <c r="AD66" s="188"/>
      <c r="AE66" s="218"/>
    </row>
    <row r="67" spans="1:31" s="54" customFormat="1" ht="10.15" customHeight="1">
      <c r="A67" s="187" t="s">
        <v>536</v>
      </c>
      <c r="B67" s="192"/>
      <c r="C67" s="192"/>
      <c r="D67" s="192"/>
      <c r="E67" s="192"/>
      <c r="F67" s="192"/>
      <c r="G67" s="192"/>
      <c r="H67" s="192"/>
      <c r="I67" s="192"/>
      <c r="J67" s="192"/>
      <c r="K67" s="231">
        <f>Original!K67/Original!K$69</f>
        <v>3.8152158751182828E-3</v>
      </c>
      <c r="L67" s="231">
        <f>Original!L67/Original!L$69</f>
        <v>6.0086283541199602E-3</v>
      </c>
      <c r="M67" s="231">
        <f>Original!M67/Original!M$69</f>
        <v>7.5707491107281418E-3</v>
      </c>
      <c r="N67" s="231">
        <f>Original!N67/Original!N$69</f>
        <v>9.2052399057925283E-3</v>
      </c>
      <c r="O67" s="231">
        <f>Original!O67/Original!O$69</f>
        <v>5.5983582067621112E-3</v>
      </c>
      <c r="P67" s="231">
        <f>Original!P67/Original!P$69</f>
        <v>9.3752380654031076E-3</v>
      </c>
      <c r="Q67" s="231">
        <f>Original!Q67/Original!Q$69</f>
        <v>9.8091750529892621E-3</v>
      </c>
      <c r="R67" s="231">
        <f>Original!R67/Original!R$69</f>
        <v>1.3088548552960188E-2</v>
      </c>
      <c r="S67" s="231">
        <f>Original!S67/Original!S$69</f>
        <v>1.3214382018624547E-2</v>
      </c>
      <c r="T67" s="231">
        <f>Original!T67/Original!T$69</f>
        <v>8.7966937921478969E-4</v>
      </c>
      <c r="U67" s="231">
        <f>Original!U67/Original!U$69</f>
        <v>9.618731126156561E-3</v>
      </c>
      <c r="V67" s="231">
        <f>Original!V67/Original!V$69</f>
        <v>1.8085653132786427E-4</v>
      </c>
      <c r="W67" s="231">
        <f>Original!W67/Original!W$69</f>
        <v>7.1010511717132744E-3</v>
      </c>
      <c r="X67" s="192">
        <f t="shared" si="3"/>
        <v>7.1010511717132744E-3</v>
      </c>
      <c r="AA67" s="219"/>
      <c r="AB67" s="369" t="s">
        <v>537</v>
      </c>
      <c r="AC67" s="370"/>
      <c r="AD67" s="188"/>
      <c r="AE67" s="218"/>
    </row>
    <row r="68" spans="1:31" s="54" customFormat="1" ht="10.15" customHeight="1">
      <c r="A68" s="187" t="s">
        <v>538</v>
      </c>
      <c r="B68" s="192"/>
      <c r="C68" s="192"/>
      <c r="D68" s="192"/>
      <c r="E68" s="192"/>
      <c r="F68" s="192"/>
      <c r="G68" s="192"/>
      <c r="H68" s="192"/>
      <c r="I68" s="192"/>
      <c r="J68" s="192"/>
      <c r="K68" s="231">
        <f>Original!K68/Original!K$69</f>
        <v>-7.0159256359635623E-3</v>
      </c>
      <c r="L68" s="231">
        <f>Original!L68/Original!L$69</f>
        <v>-7.0130827928357959E-5</v>
      </c>
      <c r="M68" s="231">
        <f>Original!M68/Original!M$69</f>
        <v>-1.796053245948401E-4</v>
      </c>
      <c r="N68" s="231">
        <f>Original!N68/Original!N$69</f>
        <v>-1.187489142171038E-4</v>
      </c>
      <c r="O68" s="231">
        <f>Original!O68/Original!O$69</f>
        <v>-2.1387720183313987E-4</v>
      </c>
      <c r="P68" s="231">
        <f>Original!P68/Original!P$69</f>
        <v>-1.6588931267002766E-4</v>
      </c>
      <c r="Q68" s="231">
        <f>Original!Q68/Original!Q$69</f>
        <v>-9.7312613591010353E-4</v>
      </c>
      <c r="R68" s="231">
        <f>Original!R68/Original!R$69</f>
        <v>-5.2794916997208754E-5</v>
      </c>
      <c r="S68" s="231">
        <f>Original!S68/Original!S$69</f>
        <v>0</v>
      </c>
      <c r="T68" s="231">
        <f>Original!T68/Original!T$69</f>
        <v>0</v>
      </c>
      <c r="U68" s="231">
        <f>Original!U68/Original!U$69</f>
        <v>-4.1532797396616152E-4</v>
      </c>
      <c r="V68" s="231">
        <f>Original!V68/Original!V$69</f>
        <v>0</v>
      </c>
      <c r="W68" s="231">
        <f>Original!W68/Original!W$69</f>
        <v>-6.0851337034715928E-4</v>
      </c>
      <c r="X68" s="192">
        <f t="shared" si="3"/>
        <v>-6.0851337034715928E-4</v>
      </c>
      <c r="AA68" s="219"/>
      <c r="AB68" s="370"/>
      <c r="AC68" s="370"/>
      <c r="AE68" s="218"/>
    </row>
    <row r="69" spans="1:31" s="54" customFormat="1" ht="10.15" customHeight="1">
      <c r="A69" s="187" t="s">
        <v>469</v>
      </c>
      <c r="B69" s="192"/>
      <c r="C69" s="192"/>
      <c r="D69" s="192"/>
      <c r="E69" s="192"/>
      <c r="F69" s="192"/>
      <c r="G69" s="192"/>
      <c r="H69" s="192"/>
      <c r="I69" s="192"/>
      <c r="J69" s="192"/>
      <c r="K69" s="231">
        <f>Original!K69/Original!K$69</f>
        <v>1</v>
      </c>
      <c r="L69" s="231">
        <f>Original!L69/Original!L$69</f>
        <v>1</v>
      </c>
      <c r="M69" s="231">
        <f>Original!M69/Original!M$69</f>
        <v>1</v>
      </c>
      <c r="N69" s="231">
        <f>Original!N69/Original!N$69</f>
        <v>1</v>
      </c>
      <c r="O69" s="231">
        <f>Original!O69/Original!O$69</f>
        <v>1</v>
      </c>
      <c r="P69" s="231">
        <f>Original!P69/Original!P$69</f>
        <v>1</v>
      </c>
      <c r="Q69" s="231">
        <f>Original!Q69/Original!Q$69</f>
        <v>1</v>
      </c>
      <c r="R69" s="231">
        <f>Original!R69/Original!R$69</f>
        <v>1</v>
      </c>
      <c r="S69" s="231">
        <f>Original!S69/Original!S$69</f>
        <v>1</v>
      </c>
      <c r="T69" s="231">
        <f>Original!T69/Original!T$69</f>
        <v>1</v>
      </c>
      <c r="U69" s="231">
        <f>Original!U69/Original!U$69</f>
        <v>1</v>
      </c>
      <c r="V69" s="231">
        <f>Original!V69/Original!V$69</f>
        <v>1</v>
      </c>
      <c r="W69" s="231">
        <f>Original!W69/Original!W$69</f>
        <v>1</v>
      </c>
      <c r="X69" s="192">
        <f t="shared" si="3"/>
        <v>1</v>
      </c>
      <c r="AA69" s="219"/>
      <c r="AB69" s="370"/>
      <c r="AC69" s="370"/>
      <c r="AE69" s="218"/>
    </row>
    <row r="70" spans="1:31" s="54" customFormat="1" ht="10.15" customHeight="1" thickBot="1">
      <c r="A70" s="54" t="s">
        <v>470</v>
      </c>
      <c r="B70" s="192"/>
      <c r="C70" s="192"/>
      <c r="D70" s="192"/>
      <c r="E70" s="192"/>
      <c r="F70" s="192"/>
      <c r="G70" s="192"/>
      <c r="H70" s="192"/>
      <c r="I70" s="192"/>
      <c r="J70" s="192"/>
      <c r="K70" s="192">
        <v>12560399</v>
      </c>
      <c r="L70" s="192">
        <v>212274</v>
      </c>
      <c r="M70" s="192">
        <v>10560359</v>
      </c>
      <c r="N70" s="192">
        <v>742087</v>
      </c>
      <c r="O70" s="192">
        <v>7047825</v>
      </c>
      <c r="P70" s="192">
        <v>17613390</v>
      </c>
      <c r="Q70" s="192">
        <v>4932125</v>
      </c>
      <c r="R70" s="192">
        <v>1405295</v>
      </c>
      <c r="S70" s="192">
        <v>1410816</v>
      </c>
      <c r="T70" s="192">
        <v>502337</v>
      </c>
      <c r="U70" s="192">
        <v>30453062</v>
      </c>
      <c r="V70" s="192">
        <v>11814707</v>
      </c>
      <c r="W70" s="192">
        <f>SUM(K70:V70)</f>
        <v>99254676</v>
      </c>
      <c r="X70" s="192">
        <f t="shared" si="3"/>
        <v>99254676</v>
      </c>
      <c r="AA70" s="222"/>
      <c r="AB70" s="223"/>
      <c r="AC70" s="223"/>
      <c r="AD70" s="224"/>
      <c r="AE70" s="225"/>
    </row>
    <row r="71" spans="1:31" s="54" customFormat="1" ht="6" customHeight="1" thickTop="1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8"/>
    </row>
    <row r="72" spans="1:31" s="54" customFormat="1" ht="15" customHeight="1">
      <c r="A72" s="54" t="s">
        <v>106</v>
      </c>
      <c r="K72" s="54">
        <f t="array" ref="K72:W72">TRANSPOSE(Original!B39:B51)</f>
        <v>938989</v>
      </c>
      <c r="L72" s="54">
        <v>474641</v>
      </c>
      <c r="M72" s="54">
        <v>6468662</v>
      </c>
      <c r="N72" s="54">
        <v>532996</v>
      </c>
      <c r="O72" s="54">
        <v>683264</v>
      </c>
      <c r="P72" s="54">
        <v>140737</v>
      </c>
      <c r="Q72" s="54">
        <v>568288</v>
      </c>
      <c r="R72" s="54">
        <v>535541</v>
      </c>
      <c r="S72" s="54">
        <v>800076</v>
      </c>
      <c r="T72" s="229">
        <v>793035</v>
      </c>
      <c r="U72" s="229">
        <v>2125358</v>
      </c>
      <c r="V72" s="229">
        <v>1465281</v>
      </c>
      <c r="W72" s="229">
        <v>15526868</v>
      </c>
      <c r="X72" s="229"/>
      <c r="AA72" s="197"/>
      <c r="AB72" s="197"/>
      <c r="AC72" s="197"/>
      <c r="AD72" s="197"/>
      <c r="AE72" s="197"/>
    </row>
    <row r="73" spans="1:31" ht="15" customHeight="1">
      <c r="A73" s="54" t="s">
        <v>539</v>
      </c>
    </row>
  </sheetData>
  <mergeCells count="88">
    <mergeCell ref="N6:N9"/>
    <mergeCell ref="A5:A9"/>
    <mergeCell ref="X5:X9"/>
    <mergeCell ref="Y5:Y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  <mergeCell ref="U6:U9"/>
    <mergeCell ref="V6:V9"/>
    <mergeCell ref="W6:W9"/>
    <mergeCell ref="A33:A37"/>
    <mergeCell ref="B33:B37"/>
    <mergeCell ref="C33:C37"/>
    <mergeCell ref="D33:D37"/>
    <mergeCell ref="E33:E37"/>
    <mergeCell ref="F33:F37"/>
    <mergeCell ref="G33:G37"/>
    <mergeCell ref="O6:O9"/>
    <mergeCell ref="P6:P9"/>
    <mergeCell ref="Q6:Q9"/>
    <mergeCell ref="R6:R9"/>
    <mergeCell ref="S6:S9"/>
    <mergeCell ref="T6:T9"/>
    <mergeCell ref="AF33:AF37"/>
    <mergeCell ref="K34:K37"/>
    <mergeCell ref="L34:L37"/>
    <mergeCell ref="M34:M37"/>
    <mergeCell ref="N34:N37"/>
    <mergeCell ref="O34:O37"/>
    <mergeCell ref="U34:U37"/>
    <mergeCell ref="AE34:AE37"/>
    <mergeCell ref="Y34:Y37"/>
    <mergeCell ref="Z34:Z37"/>
    <mergeCell ref="AA34:AA37"/>
    <mergeCell ref="H33:H37"/>
    <mergeCell ref="I33:I37"/>
    <mergeCell ref="J33:J37"/>
    <mergeCell ref="X33:X37"/>
    <mergeCell ref="P34:P37"/>
    <mergeCell ref="Q34:Q37"/>
    <mergeCell ref="R34:R37"/>
    <mergeCell ref="S34:S37"/>
    <mergeCell ref="T34:T37"/>
    <mergeCell ref="V34:V37"/>
    <mergeCell ref="W34:W37"/>
    <mergeCell ref="AB62:AB65"/>
    <mergeCell ref="AC62:AC65"/>
    <mergeCell ref="AD62:AD65"/>
    <mergeCell ref="AB67:AC69"/>
    <mergeCell ref="AC34:AC37"/>
    <mergeCell ref="AD34:AD37"/>
    <mergeCell ref="AB58:AB59"/>
    <mergeCell ref="AC58:AC59"/>
    <mergeCell ref="AD58:AD59"/>
    <mergeCell ref="AB34:AB37"/>
    <mergeCell ref="BI34:BI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BH34:BH37"/>
    <mergeCell ref="BP34:BP37"/>
    <mergeCell ref="BQ34:BQ37"/>
    <mergeCell ref="BR34:BR37"/>
    <mergeCell ref="BS34:BS37"/>
    <mergeCell ref="BJ34:BJ37"/>
    <mergeCell ref="BK34:BK37"/>
    <mergeCell ref="BL34:BL37"/>
    <mergeCell ref="BM34:BM37"/>
    <mergeCell ref="BN34:BN37"/>
    <mergeCell ref="BO34:BO37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E996-C419-4450-B2D0-AAD1BBD6359B}">
  <dimension ref="B1:N38"/>
  <sheetViews>
    <sheetView workbookViewId="0">
      <selection activeCell="F62" sqref="F62"/>
    </sheetView>
  </sheetViews>
  <sheetFormatPr defaultRowHeight="8.25"/>
  <cols>
    <col min="2" max="2" width="54" customWidth="1"/>
    <col min="3" max="3" width="12.3984375" bestFit="1" customWidth="1"/>
    <col min="4" max="4" width="16" bestFit="1" customWidth="1"/>
    <col min="5" max="6" width="12.3984375" bestFit="1" customWidth="1"/>
    <col min="7" max="7" width="7.3984375" bestFit="1" customWidth="1"/>
    <col min="8" max="10" width="12.3984375" bestFit="1" customWidth="1"/>
    <col min="11" max="11" width="11.3984375" bestFit="1" customWidth="1"/>
    <col min="12" max="12" width="12.3984375" bestFit="1" customWidth="1"/>
    <col min="13" max="13" width="23.19921875" bestFit="1" customWidth="1"/>
    <col min="14" max="14" width="9.3984375" bestFit="1" customWidth="1"/>
  </cols>
  <sheetData>
    <row r="1" spans="2:14" ht="9" thickBot="1"/>
    <row r="2" spans="2:14" ht="9" thickTop="1">
      <c r="C2" s="392" t="s">
        <v>499</v>
      </c>
      <c r="D2" s="392" t="s">
        <v>473</v>
      </c>
      <c r="E2" s="392" t="s">
        <v>500</v>
      </c>
      <c r="F2" s="392" t="s">
        <v>501</v>
      </c>
      <c r="G2" s="392" t="s">
        <v>502</v>
      </c>
      <c r="H2" s="392" t="s">
        <v>476</v>
      </c>
      <c r="I2" s="392" t="s">
        <v>503</v>
      </c>
      <c r="J2" s="392" t="s">
        <v>504</v>
      </c>
      <c r="K2" s="392" t="s">
        <v>505</v>
      </c>
      <c r="L2" s="392" t="s">
        <v>506</v>
      </c>
      <c r="M2" s="392" t="s">
        <v>481</v>
      </c>
      <c r="N2" s="392" t="s">
        <v>507</v>
      </c>
    </row>
    <row r="3" spans="2:14">
      <c r="C3" s="393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</row>
    <row r="4" spans="2:14"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</row>
    <row r="5" spans="2:14" ht="9" thickBot="1"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</row>
    <row r="6" spans="2:14" ht="9" thickTop="1">
      <c r="B6" s="205" t="s">
        <v>472</v>
      </c>
      <c r="C6">
        <f>Original!AB39</f>
        <v>212694</v>
      </c>
    </row>
    <row r="7" spans="2:14">
      <c r="B7" s="205" t="s">
        <v>473</v>
      </c>
      <c r="D7">
        <f>Original!AB40</f>
        <v>0</v>
      </c>
    </row>
    <row r="8" spans="2:14">
      <c r="B8" s="205" t="s">
        <v>474</v>
      </c>
      <c r="E8">
        <f>Original!AB41</f>
        <v>2148705</v>
      </c>
    </row>
    <row r="9" spans="2:14">
      <c r="B9" s="205" t="s">
        <v>509</v>
      </c>
      <c r="F9">
        <f>Original!AB42</f>
        <v>186576</v>
      </c>
    </row>
    <row r="10" spans="2:14">
      <c r="B10" s="205" t="s">
        <v>475</v>
      </c>
      <c r="G10">
        <f>Original!AB43</f>
        <v>0</v>
      </c>
    </row>
    <row r="11" spans="2:14">
      <c r="B11" s="205" t="s">
        <v>476</v>
      </c>
      <c r="H11">
        <f>Original!AB44</f>
        <v>55912</v>
      </c>
    </row>
    <row r="12" spans="2:14">
      <c r="B12" s="205" t="s">
        <v>477</v>
      </c>
      <c r="I12">
        <f>Original!AB45</f>
        <v>109783</v>
      </c>
    </row>
    <row r="13" spans="2:14">
      <c r="B13" s="205" t="s">
        <v>478</v>
      </c>
      <c r="J13">
        <f>Original!AB46</f>
        <v>152610</v>
      </c>
    </row>
    <row r="14" spans="2:14">
      <c r="B14" s="206" t="s">
        <v>479</v>
      </c>
      <c r="K14">
        <f>Original!AB47</f>
        <v>379659</v>
      </c>
    </row>
    <row r="15" spans="2:14">
      <c r="B15" s="205" t="s">
        <v>480</v>
      </c>
      <c r="L15">
        <f>Original!AB48</f>
        <v>643203</v>
      </c>
    </row>
    <row r="16" spans="2:14">
      <c r="B16" s="205" t="s">
        <v>481</v>
      </c>
      <c r="M16">
        <f>Original!AB49</f>
        <v>915862</v>
      </c>
    </row>
    <row r="17" spans="2:14">
      <c r="B17" s="205" t="s">
        <v>482</v>
      </c>
      <c r="N17">
        <f>Original!AB50</f>
        <v>0</v>
      </c>
    </row>
    <row r="19" spans="2:14">
      <c r="B19" s="205" t="s">
        <v>1</v>
      </c>
      <c r="C19">
        <f>Original!K71</f>
        <v>938989</v>
      </c>
      <c r="D19">
        <f>Original!L71</f>
        <v>474641</v>
      </c>
      <c r="E19">
        <f>Original!M71</f>
        <v>6468662</v>
      </c>
      <c r="F19">
        <f>Original!N71</f>
        <v>532996</v>
      </c>
      <c r="G19">
        <f>Original!O71</f>
        <v>683264</v>
      </c>
      <c r="H19">
        <f>Original!P71</f>
        <v>140737</v>
      </c>
      <c r="I19">
        <f>Original!Q71</f>
        <v>568288</v>
      </c>
      <c r="J19">
        <f>Original!R71</f>
        <v>535541</v>
      </c>
      <c r="K19">
        <f>Original!S71</f>
        <v>800076</v>
      </c>
      <c r="L19">
        <f>Original!T71</f>
        <v>793035</v>
      </c>
      <c r="M19">
        <f>Original!U71</f>
        <v>2125358</v>
      </c>
      <c r="N19">
        <f>Original!V71</f>
        <v>1465281</v>
      </c>
    </row>
    <row r="20" spans="2:14" ht="9" thickBot="1"/>
    <row r="21" spans="2:14" ht="9" thickTop="1">
      <c r="C21" s="392" t="s">
        <v>499</v>
      </c>
      <c r="D21" s="392" t="s">
        <v>473</v>
      </c>
      <c r="E21" s="392" t="s">
        <v>500</v>
      </c>
      <c r="F21" s="392" t="s">
        <v>501</v>
      </c>
      <c r="G21" s="392" t="s">
        <v>502</v>
      </c>
      <c r="H21" s="392" t="s">
        <v>476</v>
      </c>
      <c r="I21" s="392" t="s">
        <v>503</v>
      </c>
      <c r="J21" s="392" t="s">
        <v>504</v>
      </c>
      <c r="K21" s="392" t="s">
        <v>505</v>
      </c>
      <c r="L21" s="392" t="s">
        <v>506</v>
      </c>
      <c r="M21" s="392" t="s">
        <v>481</v>
      </c>
      <c r="N21" s="392" t="s">
        <v>507</v>
      </c>
    </row>
    <row r="22" spans="2:14">
      <c r="C22" s="393"/>
      <c r="D22" s="393"/>
      <c r="E22" s="393"/>
      <c r="F22" s="393"/>
      <c r="G22" s="393"/>
      <c r="H22" s="393"/>
      <c r="I22" s="393"/>
      <c r="J22" s="393"/>
      <c r="K22" s="393"/>
      <c r="L22" s="393"/>
      <c r="M22" s="393"/>
      <c r="N22" s="393"/>
    </row>
    <row r="23" spans="2:14"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</row>
    <row r="24" spans="2:14" ht="9" thickBot="1">
      <c r="C24" s="394"/>
      <c r="D24" s="394"/>
      <c r="E24" s="394"/>
      <c r="F24" s="394"/>
      <c r="G24" s="394"/>
      <c r="H24" s="394"/>
      <c r="I24" s="394"/>
      <c r="J24" s="394"/>
      <c r="K24" s="394"/>
      <c r="L24" s="394"/>
      <c r="M24" s="394"/>
      <c r="N24" s="394"/>
    </row>
    <row r="25" spans="2:14" ht="9" thickTop="1">
      <c r="B25" s="205" t="s">
        <v>472</v>
      </c>
      <c r="C25" s="254">
        <f>C6/C$19</f>
        <v>0.22651383562533747</v>
      </c>
      <c r="D25" s="254">
        <f t="shared" ref="D25:N25" si="0">D6/D$19</f>
        <v>0</v>
      </c>
      <c r="E25" s="254">
        <f t="shared" si="0"/>
        <v>0</v>
      </c>
      <c r="F25" s="254">
        <f t="shared" si="0"/>
        <v>0</v>
      </c>
      <c r="G25" s="254">
        <f t="shared" si="0"/>
        <v>0</v>
      </c>
      <c r="H25" s="254">
        <f t="shared" si="0"/>
        <v>0</v>
      </c>
      <c r="I25" s="254">
        <f t="shared" si="0"/>
        <v>0</v>
      </c>
      <c r="J25" s="254">
        <f t="shared" si="0"/>
        <v>0</v>
      </c>
      <c r="K25" s="254">
        <f t="shared" si="0"/>
        <v>0</v>
      </c>
      <c r="L25" s="254">
        <f t="shared" si="0"/>
        <v>0</v>
      </c>
      <c r="M25" s="254">
        <f t="shared" si="0"/>
        <v>0</v>
      </c>
      <c r="N25" s="254">
        <f t="shared" si="0"/>
        <v>0</v>
      </c>
    </row>
    <row r="26" spans="2:14">
      <c r="B26" s="205" t="s">
        <v>473</v>
      </c>
      <c r="C26" s="254">
        <f t="shared" ref="C26:N36" si="1">C7/C$19</f>
        <v>0</v>
      </c>
      <c r="D26" s="254">
        <f t="shared" si="1"/>
        <v>0</v>
      </c>
      <c r="E26" s="254">
        <f t="shared" si="1"/>
        <v>0</v>
      </c>
      <c r="F26" s="254">
        <f t="shared" si="1"/>
        <v>0</v>
      </c>
      <c r="G26" s="254">
        <f t="shared" si="1"/>
        <v>0</v>
      </c>
      <c r="H26" s="254">
        <f t="shared" si="1"/>
        <v>0</v>
      </c>
      <c r="I26" s="254">
        <f t="shared" si="1"/>
        <v>0</v>
      </c>
      <c r="J26" s="254">
        <f t="shared" si="1"/>
        <v>0</v>
      </c>
      <c r="K26" s="254">
        <f t="shared" si="1"/>
        <v>0</v>
      </c>
      <c r="L26" s="254">
        <f t="shared" si="1"/>
        <v>0</v>
      </c>
      <c r="M26" s="254">
        <f t="shared" si="1"/>
        <v>0</v>
      </c>
      <c r="N26" s="254">
        <f t="shared" si="1"/>
        <v>0</v>
      </c>
    </row>
    <row r="27" spans="2:14">
      <c r="B27" s="205" t="s">
        <v>474</v>
      </c>
      <c r="C27" s="254">
        <f t="shared" si="1"/>
        <v>0</v>
      </c>
      <c r="D27" s="254">
        <f t="shared" si="1"/>
        <v>0</v>
      </c>
      <c r="E27" s="254">
        <f t="shared" si="1"/>
        <v>0.3321714753375582</v>
      </c>
      <c r="F27" s="254">
        <f t="shared" si="1"/>
        <v>0</v>
      </c>
      <c r="G27" s="254">
        <f t="shared" si="1"/>
        <v>0</v>
      </c>
      <c r="H27" s="254">
        <f t="shared" si="1"/>
        <v>0</v>
      </c>
      <c r="I27" s="254">
        <f t="shared" si="1"/>
        <v>0</v>
      </c>
      <c r="J27" s="254">
        <f t="shared" si="1"/>
        <v>0</v>
      </c>
      <c r="K27" s="254">
        <f t="shared" si="1"/>
        <v>0</v>
      </c>
      <c r="L27" s="254">
        <f t="shared" si="1"/>
        <v>0</v>
      </c>
      <c r="M27" s="254">
        <f t="shared" si="1"/>
        <v>0</v>
      </c>
      <c r="N27" s="254">
        <f t="shared" si="1"/>
        <v>0</v>
      </c>
    </row>
    <row r="28" spans="2:14">
      <c r="B28" s="205" t="s">
        <v>509</v>
      </c>
      <c r="C28" s="254">
        <f t="shared" si="1"/>
        <v>0</v>
      </c>
      <c r="D28" s="254">
        <f t="shared" si="1"/>
        <v>0</v>
      </c>
      <c r="E28" s="254">
        <f t="shared" si="1"/>
        <v>0</v>
      </c>
      <c r="F28" s="254">
        <f t="shared" si="1"/>
        <v>0.35005140751525338</v>
      </c>
      <c r="G28" s="254">
        <f t="shared" si="1"/>
        <v>0</v>
      </c>
      <c r="H28" s="254">
        <f t="shared" si="1"/>
        <v>0</v>
      </c>
      <c r="I28" s="254">
        <f t="shared" si="1"/>
        <v>0</v>
      </c>
      <c r="J28" s="254">
        <f t="shared" si="1"/>
        <v>0</v>
      </c>
      <c r="K28" s="254">
        <f t="shared" si="1"/>
        <v>0</v>
      </c>
      <c r="L28" s="254">
        <f t="shared" si="1"/>
        <v>0</v>
      </c>
      <c r="M28" s="254">
        <f t="shared" si="1"/>
        <v>0</v>
      </c>
      <c r="N28" s="254">
        <f t="shared" si="1"/>
        <v>0</v>
      </c>
    </row>
    <row r="29" spans="2:14">
      <c r="B29" s="205" t="s">
        <v>475</v>
      </c>
      <c r="C29" s="254">
        <f t="shared" si="1"/>
        <v>0</v>
      </c>
      <c r="D29" s="254">
        <f t="shared" si="1"/>
        <v>0</v>
      </c>
      <c r="E29" s="254">
        <f t="shared" si="1"/>
        <v>0</v>
      </c>
      <c r="F29" s="254">
        <f t="shared" si="1"/>
        <v>0</v>
      </c>
      <c r="G29" s="254">
        <f t="shared" si="1"/>
        <v>0</v>
      </c>
      <c r="H29" s="254">
        <f t="shared" si="1"/>
        <v>0</v>
      </c>
      <c r="I29" s="254">
        <f t="shared" si="1"/>
        <v>0</v>
      </c>
      <c r="J29" s="254">
        <f t="shared" si="1"/>
        <v>0</v>
      </c>
      <c r="K29" s="254">
        <f t="shared" si="1"/>
        <v>0</v>
      </c>
      <c r="L29" s="254">
        <f t="shared" si="1"/>
        <v>0</v>
      </c>
      <c r="M29" s="254">
        <f t="shared" si="1"/>
        <v>0</v>
      </c>
      <c r="N29" s="254">
        <f t="shared" si="1"/>
        <v>0</v>
      </c>
    </row>
    <row r="30" spans="2:14">
      <c r="B30" s="205" t="s">
        <v>476</v>
      </c>
      <c r="C30" s="254">
        <f t="shared" si="1"/>
        <v>0</v>
      </c>
      <c r="D30" s="254">
        <f t="shared" si="1"/>
        <v>0</v>
      </c>
      <c r="E30" s="254">
        <f t="shared" si="1"/>
        <v>0</v>
      </c>
      <c r="F30" s="254">
        <f t="shared" si="1"/>
        <v>0</v>
      </c>
      <c r="G30" s="254">
        <f t="shared" si="1"/>
        <v>0</v>
      </c>
      <c r="H30" s="254">
        <f t="shared" si="1"/>
        <v>0.39728003296929731</v>
      </c>
      <c r="I30" s="254">
        <f t="shared" si="1"/>
        <v>0</v>
      </c>
      <c r="J30" s="254">
        <f t="shared" si="1"/>
        <v>0</v>
      </c>
      <c r="K30" s="254">
        <f t="shared" si="1"/>
        <v>0</v>
      </c>
      <c r="L30" s="254">
        <f t="shared" si="1"/>
        <v>0</v>
      </c>
      <c r="M30" s="254">
        <f t="shared" si="1"/>
        <v>0</v>
      </c>
      <c r="N30" s="254">
        <f t="shared" si="1"/>
        <v>0</v>
      </c>
    </row>
    <row r="31" spans="2:14">
      <c r="B31" s="205" t="s">
        <v>477</v>
      </c>
      <c r="C31" s="254">
        <f t="shared" si="1"/>
        <v>0</v>
      </c>
      <c r="D31" s="254">
        <f t="shared" si="1"/>
        <v>0</v>
      </c>
      <c r="E31" s="254">
        <f t="shared" si="1"/>
        <v>0</v>
      </c>
      <c r="F31" s="254">
        <f t="shared" si="1"/>
        <v>0</v>
      </c>
      <c r="G31" s="254">
        <f t="shared" si="1"/>
        <v>0</v>
      </c>
      <c r="H31" s="254">
        <f t="shared" si="1"/>
        <v>0</v>
      </c>
      <c r="I31" s="254">
        <f t="shared" si="1"/>
        <v>0.19318197815192298</v>
      </c>
      <c r="J31" s="254">
        <f t="shared" si="1"/>
        <v>0</v>
      </c>
      <c r="K31" s="254">
        <f t="shared" si="1"/>
        <v>0</v>
      </c>
      <c r="L31" s="254">
        <f t="shared" si="1"/>
        <v>0</v>
      </c>
      <c r="M31" s="254">
        <f t="shared" si="1"/>
        <v>0</v>
      </c>
      <c r="N31" s="254">
        <f t="shared" si="1"/>
        <v>0</v>
      </c>
    </row>
    <row r="32" spans="2:14">
      <c r="B32" s="205" t="s">
        <v>478</v>
      </c>
      <c r="C32" s="254">
        <f t="shared" si="1"/>
        <v>0</v>
      </c>
      <c r="D32" s="254">
        <f t="shared" si="1"/>
        <v>0</v>
      </c>
      <c r="E32" s="254">
        <f t="shared" si="1"/>
        <v>0</v>
      </c>
      <c r="F32" s="254">
        <f t="shared" si="1"/>
        <v>0</v>
      </c>
      <c r="G32" s="254">
        <f t="shared" si="1"/>
        <v>0</v>
      </c>
      <c r="H32" s="254">
        <f t="shared" si="1"/>
        <v>0</v>
      </c>
      <c r="I32" s="254">
        <f t="shared" si="1"/>
        <v>0</v>
      </c>
      <c r="J32" s="254">
        <f t="shared" si="1"/>
        <v>0.28496417641226346</v>
      </c>
      <c r="K32" s="254">
        <f t="shared" si="1"/>
        <v>0</v>
      </c>
      <c r="L32" s="254">
        <f t="shared" si="1"/>
        <v>0</v>
      </c>
      <c r="M32" s="254">
        <f t="shared" si="1"/>
        <v>0</v>
      </c>
      <c r="N32" s="254">
        <f t="shared" si="1"/>
        <v>0</v>
      </c>
    </row>
    <row r="33" spans="2:14">
      <c r="B33" s="206" t="s">
        <v>479</v>
      </c>
      <c r="C33" s="254">
        <f t="shared" si="1"/>
        <v>0</v>
      </c>
      <c r="D33" s="254">
        <f t="shared" si="1"/>
        <v>0</v>
      </c>
      <c r="E33" s="254">
        <f t="shared" si="1"/>
        <v>0</v>
      </c>
      <c r="F33" s="254">
        <f t="shared" si="1"/>
        <v>0</v>
      </c>
      <c r="G33" s="254">
        <f t="shared" si="1"/>
        <v>0</v>
      </c>
      <c r="H33" s="254">
        <f t="shared" si="1"/>
        <v>0</v>
      </c>
      <c r="I33" s="254">
        <f t="shared" si="1"/>
        <v>0</v>
      </c>
      <c r="J33" s="254">
        <f t="shared" si="1"/>
        <v>0</v>
      </c>
      <c r="K33" s="254">
        <f t="shared" si="1"/>
        <v>0.47452866977637126</v>
      </c>
      <c r="L33" s="254">
        <f t="shared" si="1"/>
        <v>0</v>
      </c>
      <c r="M33" s="254">
        <f t="shared" si="1"/>
        <v>0</v>
      </c>
      <c r="N33" s="254">
        <f t="shared" si="1"/>
        <v>0</v>
      </c>
    </row>
    <row r="34" spans="2:14">
      <c r="B34" s="205" t="s">
        <v>480</v>
      </c>
      <c r="C34" s="254">
        <f t="shared" si="1"/>
        <v>0</v>
      </c>
      <c r="D34" s="254">
        <f t="shared" si="1"/>
        <v>0</v>
      </c>
      <c r="E34" s="254">
        <f t="shared" si="1"/>
        <v>0</v>
      </c>
      <c r="F34" s="254">
        <f t="shared" si="1"/>
        <v>0</v>
      </c>
      <c r="G34" s="254">
        <f t="shared" si="1"/>
        <v>0</v>
      </c>
      <c r="H34" s="254">
        <f t="shared" si="1"/>
        <v>0</v>
      </c>
      <c r="I34" s="254">
        <f t="shared" si="1"/>
        <v>0</v>
      </c>
      <c r="J34" s="254">
        <f t="shared" si="1"/>
        <v>0</v>
      </c>
      <c r="K34" s="254">
        <f t="shared" si="1"/>
        <v>0</v>
      </c>
      <c r="L34" s="254">
        <f t="shared" si="1"/>
        <v>0.81106508539976163</v>
      </c>
      <c r="M34" s="254">
        <f t="shared" si="1"/>
        <v>0</v>
      </c>
      <c r="N34" s="254">
        <f t="shared" si="1"/>
        <v>0</v>
      </c>
    </row>
    <row r="35" spans="2:14">
      <c r="B35" s="205" t="s">
        <v>481</v>
      </c>
      <c r="C35" s="254">
        <f t="shared" si="1"/>
        <v>0</v>
      </c>
      <c r="D35" s="254">
        <f t="shared" si="1"/>
        <v>0</v>
      </c>
      <c r="E35" s="254">
        <f t="shared" si="1"/>
        <v>0</v>
      </c>
      <c r="F35" s="254">
        <f t="shared" si="1"/>
        <v>0</v>
      </c>
      <c r="G35" s="254">
        <f t="shared" si="1"/>
        <v>0</v>
      </c>
      <c r="H35" s="254">
        <f t="shared" si="1"/>
        <v>0</v>
      </c>
      <c r="I35" s="254">
        <f t="shared" si="1"/>
        <v>0</v>
      </c>
      <c r="J35" s="254">
        <f t="shared" si="1"/>
        <v>0</v>
      </c>
      <c r="K35" s="254">
        <f t="shared" si="1"/>
        <v>0</v>
      </c>
      <c r="L35" s="254">
        <f t="shared" si="1"/>
        <v>0</v>
      </c>
      <c r="M35" s="254">
        <f t="shared" si="1"/>
        <v>0.43092128479060937</v>
      </c>
      <c r="N35" s="254">
        <f t="shared" si="1"/>
        <v>0</v>
      </c>
    </row>
    <row r="36" spans="2:14">
      <c r="B36" s="205" t="s">
        <v>482</v>
      </c>
      <c r="C36" s="254">
        <f t="shared" si="1"/>
        <v>0</v>
      </c>
      <c r="D36" s="254">
        <f t="shared" si="1"/>
        <v>0</v>
      </c>
      <c r="E36" s="254">
        <f t="shared" si="1"/>
        <v>0</v>
      </c>
      <c r="F36" s="254">
        <f t="shared" si="1"/>
        <v>0</v>
      </c>
      <c r="G36" s="254">
        <f t="shared" si="1"/>
        <v>0</v>
      </c>
      <c r="H36" s="254">
        <f t="shared" si="1"/>
        <v>0</v>
      </c>
      <c r="I36" s="254">
        <f t="shared" si="1"/>
        <v>0</v>
      </c>
      <c r="J36" s="254">
        <f t="shared" si="1"/>
        <v>0</v>
      </c>
      <c r="K36" s="254">
        <f t="shared" si="1"/>
        <v>0</v>
      </c>
      <c r="L36" s="254">
        <f t="shared" si="1"/>
        <v>0</v>
      </c>
      <c r="M36" s="254">
        <f t="shared" si="1"/>
        <v>0</v>
      </c>
      <c r="N36" s="254">
        <f t="shared" si="1"/>
        <v>0</v>
      </c>
    </row>
    <row r="38" spans="2:14">
      <c r="B38" s="205" t="s">
        <v>1</v>
      </c>
      <c r="C38">
        <f>Original!K90</f>
        <v>0</v>
      </c>
      <c r="D38">
        <f>Original!L90</f>
        <v>0</v>
      </c>
      <c r="E38">
        <f>Original!M90</f>
        <v>0</v>
      </c>
      <c r="F38">
        <f>Original!N90</f>
        <v>0</v>
      </c>
      <c r="G38">
        <f>Original!O90</f>
        <v>0</v>
      </c>
      <c r="H38">
        <f>Original!P90</f>
        <v>0</v>
      </c>
      <c r="I38">
        <f>Original!Q90</f>
        <v>0</v>
      </c>
      <c r="J38">
        <f>Original!R90</f>
        <v>0</v>
      </c>
      <c r="K38">
        <f>Original!S90</f>
        <v>0</v>
      </c>
      <c r="L38">
        <f>Original!T90</f>
        <v>0</v>
      </c>
      <c r="M38">
        <f>Original!U90</f>
        <v>0</v>
      </c>
      <c r="N38">
        <f>Original!V90</f>
        <v>0</v>
      </c>
    </row>
  </sheetData>
  <mergeCells count="24">
    <mergeCell ref="N2:N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L21:L24"/>
    <mergeCell ref="M21:M24"/>
    <mergeCell ref="N21:N24"/>
    <mergeCell ref="C21:C24"/>
    <mergeCell ref="D21:D24"/>
    <mergeCell ref="E21:E24"/>
    <mergeCell ref="F21:F24"/>
    <mergeCell ref="G21:G24"/>
    <mergeCell ref="H21:H24"/>
    <mergeCell ref="I21:I24"/>
    <mergeCell ref="J21:J24"/>
    <mergeCell ref="K21:K2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58F9-2CBD-4636-B4D7-A92E4596C5C4}">
  <dimension ref="A1:AM95"/>
  <sheetViews>
    <sheetView topLeftCell="H1" zoomScale="130" zoomScaleNormal="130" workbookViewId="0">
      <selection activeCell="S20" sqref="S20"/>
    </sheetView>
  </sheetViews>
  <sheetFormatPr defaultRowHeight="8.25"/>
  <cols>
    <col min="1" max="1" width="19.59765625" customWidth="1"/>
    <col min="2" max="2" width="42.59765625" bestFit="1" customWidth="1"/>
    <col min="3" max="8" width="12.3984375" customWidth="1"/>
    <col min="9" max="10" width="15.3984375" customWidth="1"/>
    <col min="11" max="12" width="12.3984375" customWidth="1"/>
    <col min="13" max="13" width="10.796875" bestFit="1" customWidth="1"/>
    <col min="14" max="14" width="15.19921875" bestFit="1" customWidth="1"/>
    <col min="15" max="15" width="13.796875" bestFit="1" customWidth="1"/>
    <col min="16" max="16" width="13.796875" customWidth="1"/>
    <col min="17" max="17" width="3.796875" customWidth="1"/>
    <col min="18" max="19" width="16.59765625" customWidth="1"/>
    <col min="20" max="22" width="13.796875" customWidth="1"/>
    <col min="23" max="36" width="20.59765625" customWidth="1"/>
  </cols>
  <sheetData>
    <row r="1" spans="1:39">
      <c r="R1" s="431" t="s">
        <v>573</v>
      </c>
      <c r="S1" s="431"/>
      <c r="T1" s="431"/>
      <c r="U1" s="431"/>
      <c r="V1" s="431"/>
      <c r="W1" s="431"/>
      <c r="X1" s="431"/>
      <c r="Y1" s="431"/>
      <c r="Z1" s="431"/>
      <c r="AA1" s="431"/>
      <c r="AB1" s="431"/>
    </row>
    <row r="2" spans="1:39" ht="18.75" customHeight="1" thickBot="1">
      <c r="C2" s="313" t="s">
        <v>2</v>
      </c>
      <c r="D2" s="314"/>
      <c r="E2" s="313" t="s">
        <v>293</v>
      </c>
      <c r="F2" s="314"/>
      <c r="G2" s="313" t="s">
        <v>266</v>
      </c>
      <c r="H2" s="314"/>
      <c r="I2" s="313" t="s">
        <v>265</v>
      </c>
      <c r="J2" s="314"/>
      <c r="K2" s="313" t="s">
        <v>412</v>
      </c>
      <c r="L2" s="314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</row>
    <row r="3" spans="1:39" ht="18.75" customHeight="1" thickTop="1">
      <c r="C3" s="315"/>
      <c r="D3" s="316"/>
      <c r="E3" s="315"/>
      <c r="F3" s="316"/>
      <c r="G3" s="315"/>
      <c r="H3" s="316"/>
      <c r="I3" s="315"/>
      <c r="J3" s="316"/>
      <c r="K3" s="315"/>
      <c r="L3" s="316"/>
      <c r="P3" s="286" t="s">
        <v>579</v>
      </c>
      <c r="R3" s="424" t="s">
        <v>518</v>
      </c>
      <c r="S3" s="424" t="s">
        <v>519</v>
      </c>
      <c r="T3" s="421" t="s">
        <v>520</v>
      </c>
      <c r="U3" s="421" t="s">
        <v>521</v>
      </c>
      <c r="V3" s="421" t="s">
        <v>522</v>
      </c>
      <c r="W3" s="421" t="s">
        <v>523</v>
      </c>
      <c r="X3" s="421" t="s">
        <v>562</v>
      </c>
      <c r="Y3" s="421" t="s">
        <v>561</v>
      </c>
      <c r="Z3" s="421" t="s">
        <v>516</v>
      </c>
      <c r="AA3" s="421" t="s">
        <v>563</v>
      </c>
      <c r="AB3" s="275"/>
      <c r="AD3" s="421" t="s">
        <v>518</v>
      </c>
      <c r="AE3" s="421" t="s">
        <v>519</v>
      </c>
      <c r="AF3" s="421" t="s">
        <v>520</v>
      </c>
      <c r="AG3" s="421" t="s">
        <v>521</v>
      </c>
      <c r="AH3" s="421" t="s">
        <v>522</v>
      </c>
      <c r="AI3" s="421" t="s">
        <v>523</v>
      </c>
      <c r="AJ3" s="421" t="s">
        <v>562</v>
      </c>
      <c r="AK3" s="421" t="s">
        <v>561</v>
      </c>
      <c r="AL3" s="421" t="s">
        <v>516</v>
      </c>
      <c r="AM3" s="421" t="s">
        <v>563</v>
      </c>
    </row>
    <row r="4" spans="1:39" ht="18.75" customHeight="1">
      <c r="C4" s="315"/>
      <c r="D4" s="316"/>
      <c r="E4" s="315"/>
      <c r="F4" s="316"/>
      <c r="G4" s="315"/>
      <c r="H4" s="316"/>
      <c r="I4" s="315"/>
      <c r="J4" s="316"/>
      <c r="K4" s="315"/>
      <c r="L4" s="316"/>
      <c r="P4" s="287">
        <f>E28/N7</f>
        <v>-0.12063832026847152</v>
      </c>
      <c r="R4" s="432"/>
      <c r="S4" s="425"/>
      <c r="T4" s="422"/>
      <c r="U4" s="422"/>
      <c r="V4" s="427"/>
      <c r="W4" s="427"/>
      <c r="X4" s="422"/>
      <c r="Y4" s="422"/>
      <c r="Z4" s="422"/>
      <c r="AA4" s="422"/>
      <c r="AB4" s="275"/>
      <c r="AD4" s="429"/>
      <c r="AE4" s="422"/>
      <c r="AF4" s="422"/>
      <c r="AG4" s="422"/>
      <c r="AH4" s="427"/>
      <c r="AI4" s="427"/>
      <c r="AJ4" s="422"/>
      <c r="AK4" s="422"/>
      <c r="AL4" s="422"/>
      <c r="AM4" s="422"/>
    </row>
    <row r="5" spans="1:39" ht="18.75" customHeight="1">
      <c r="C5" s="315"/>
      <c r="D5" s="316"/>
      <c r="E5" s="315"/>
      <c r="F5" s="316"/>
      <c r="G5" s="315"/>
      <c r="H5" s="316"/>
      <c r="I5" s="315"/>
      <c r="J5" s="316"/>
      <c r="K5" s="315"/>
      <c r="L5" s="316"/>
      <c r="R5" s="432"/>
      <c r="S5" s="425"/>
      <c r="T5" s="422"/>
      <c r="U5" s="422"/>
      <c r="V5" s="427"/>
      <c r="W5" s="427"/>
      <c r="X5" s="422"/>
      <c r="Y5" s="422"/>
      <c r="Z5" s="422"/>
      <c r="AA5" s="422"/>
      <c r="AB5" s="275"/>
      <c r="AD5" s="429"/>
      <c r="AE5" s="422"/>
      <c r="AF5" s="422"/>
      <c r="AG5" s="422"/>
      <c r="AH5" s="427"/>
      <c r="AI5" s="427"/>
      <c r="AJ5" s="422"/>
      <c r="AK5" s="422"/>
      <c r="AL5" s="422"/>
      <c r="AM5" s="422"/>
    </row>
    <row r="6" spans="1:39" ht="25.5" thickBot="1">
      <c r="C6" s="291" t="s">
        <v>413</v>
      </c>
      <c r="D6" s="291" t="s">
        <v>414</v>
      </c>
      <c r="E6" s="291" t="s">
        <v>413</v>
      </c>
      <c r="F6" s="291" t="s">
        <v>414</v>
      </c>
      <c r="G6" s="291" t="s">
        <v>413</v>
      </c>
      <c r="H6" s="291" t="s">
        <v>414</v>
      </c>
      <c r="I6" s="291" t="s">
        <v>413</v>
      </c>
      <c r="J6" s="291" t="s">
        <v>414</v>
      </c>
      <c r="K6" s="291" t="s">
        <v>557</v>
      </c>
      <c r="L6" s="291" t="s">
        <v>558</v>
      </c>
      <c r="N6" s="136" t="s">
        <v>540</v>
      </c>
      <c r="O6" s="136" t="s">
        <v>541</v>
      </c>
      <c r="P6" s="136" t="s">
        <v>564</v>
      </c>
      <c r="Q6" s="127"/>
      <c r="R6" s="433"/>
      <c r="S6" s="426"/>
      <c r="T6" s="423"/>
      <c r="U6" s="423"/>
      <c r="V6" s="428"/>
      <c r="W6" s="428"/>
      <c r="X6" s="423"/>
      <c r="Y6" s="423"/>
      <c r="Z6" s="423"/>
      <c r="AA6" s="423"/>
      <c r="AB6" s="275"/>
      <c r="AD6" s="430"/>
      <c r="AE6" s="423"/>
      <c r="AF6" s="423"/>
      <c r="AG6" s="423"/>
      <c r="AH6" s="428"/>
      <c r="AI6" s="428"/>
      <c r="AJ6" s="423"/>
      <c r="AK6" s="423"/>
      <c r="AL6" s="423"/>
      <c r="AM6" s="423"/>
    </row>
    <row r="7" spans="1:39" ht="17.25" customHeight="1" thickTop="1">
      <c r="B7" s="131" t="s">
        <v>98</v>
      </c>
      <c r="C7" s="236">
        <f>CEIResumida!D80</f>
        <v>0</v>
      </c>
      <c r="D7" s="237">
        <f>CEIResumida!E80</f>
        <v>0</v>
      </c>
      <c r="E7" s="160">
        <f>CEIResumida!F80</f>
        <v>0</v>
      </c>
      <c r="F7" s="150">
        <f>CEIResumida!G80</f>
        <v>0</v>
      </c>
      <c r="G7" s="160">
        <f>SimulTRU!S54</f>
        <v>454549.99999999988</v>
      </c>
      <c r="H7" s="150">
        <v>0</v>
      </c>
      <c r="I7" s="160">
        <f>SimulTRU!X54-SimulTRU!S54</f>
        <v>7155047</v>
      </c>
      <c r="J7" s="150">
        <v>0</v>
      </c>
      <c r="K7" s="160">
        <f>SimulTRU!Y24</f>
        <v>1206008.9999999998</v>
      </c>
      <c r="L7" s="150">
        <f>R20</f>
        <v>1252049</v>
      </c>
      <c r="M7" s="151">
        <f>G7+I7+K7-L7</f>
        <v>7563557</v>
      </c>
      <c r="N7" s="284">
        <f>G7+I7</f>
        <v>7609597</v>
      </c>
      <c r="O7" s="284">
        <f>N7-J11</f>
        <v>6662425</v>
      </c>
      <c r="P7" s="285">
        <f>(L7-K7)/N7</f>
        <v>6.0502546981134791E-3</v>
      </c>
      <c r="Q7" s="255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</row>
    <row r="8" spans="1:39" ht="8.25" customHeight="1">
      <c r="A8" s="367" t="s">
        <v>555</v>
      </c>
      <c r="B8" s="132" t="s">
        <v>389</v>
      </c>
      <c r="C8" s="240">
        <f>SimulTRU!W56</f>
        <v>2531961</v>
      </c>
      <c r="D8" s="238">
        <f>CEIResumida!E81</f>
        <v>0</v>
      </c>
      <c r="E8" s="152">
        <f>CEIResumida!F81</f>
        <v>0</v>
      </c>
      <c r="F8" s="154">
        <f>CEIResumida!G81</f>
        <v>0</v>
      </c>
      <c r="G8" s="152">
        <f>CEIResumida!H81</f>
        <v>0</v>
      </c>
      <c r="H8" s="154">
        <f>SimulTRU!S56</f>
        <v>140273.99999999997</v>
      </c>
      <c r="I8" s="153">
        <f>CEIResumida!J81</f>
        <v>0</v>
      </c>
      <c r="J8" s="154">
        <f>SimulTRU!W56-SimulTRU!S56</f>
        <v>2391687</v>
      </c>
      <c r="K8" s="153">
        <f>CEIResumida!L81</f>
        <v>0</v>
      </c>
      <c r="L8" s="154">
        <f>CEIResumida!M81</f>
        <v>0</v>
      </c>
      <c r="M8" s="158">
        <f>C8+E8+G8+I8+K8-L8-J8-H8-F8-D8</f>
        <v>2.9103830456733704E-11</v>
      </c>
      <c r="R8" s="248">
        <v>241683</v>
      </c>
      <c r="S8" s="248">
        <v>230</v>
      </c>
      <c r="T8" s="248"/>
      <c r="U8" s="281">
        <f>Y8</f>
        <v>212694</v>
      </c>
      <c r="V8" s="248">
        <v>22310</v>
      </c>
      <c r="W8" s="248">
        <v>-2694</v>
      </c>
      <c r="X8" s="248">
        <f>R8+S8+V8+W8</f>
        <v>261529</v>
      </c>
      <c r="Y8" s="281">
        <f>SimulTRU!CL39</f>
        <v>212694</v>
      </c>
      <c r="Z8" s="248">
        <f>X8+Y8</f>
        <v>474223</v>
      </c>
      <c r="AA8" s="248">
        <f>SimulTRU!CH39</f>
        <v>938989</v>
      </c>
      <c r="AB8" s="248">
        <f>SimulTRU!CK39</f>
        <v>464765.99999999994</v>
      </c>
      <c r="AC8" s="139"/>
      <c r="AD8" s="231">
        <f>IFERROR(R8/R47-1,0)</f>
        <v>0</v>
      </c>
      <c r="AE8" s="231">
        <f t="shared" ref="AE8:AM20" si="0">IFERROR(S8/S47-1,0)</f>
        <v>0</v>
      </c>
      <c r="AF8" s="231">
        <f t="shared" si="0"/>
        <v>0</v>
      </c>
      <c r="AG8" s="231">
        <f t="shared" si="0"/>
        <v>-1.1102230246251565E-16</v>
      </c>
      <c r="AH8" s="231">
        <f t="shared" si="0"/>
        <v>0</v>
      </c>
      <c r="AI8" s="231">
        <f t="shared" si="0"/>
        <v>0</v>
      </c>
      <c r="AJ8" s="231">
        <f t="shared" si="0"/>
        <v>0</v>
      </c>
      <c r="AK8" s="231">
        <f t="shared" si="0"/>
        <v>0</v>
      </c>
      <c r="AL8" s="231">
        <f t="shared" si="0"/>
        <v>0</v>
      </c>
      <c r="AM8" s="231">
        <f t="shared" si="0"/>
        <v>0</v>
      </c>
    </row>
    <row r="9" spans="1:39">
      <c r="A9" s="367"/>
      <c r="B9" s="133" t="s">
        <v>28</v>
      </c>
      <c r="C9" s="234">
        <f>SimulTRU!W57</f>
        <v>562617</v>
      </c>
      <c r="D9" s="235">
        <f>CEIResumida!E82</f>
        <v>0</v>
      </c>
      <c r="E9" s="155">
        <f>CEIResumida!F82</f>
        <v>0</v>
      </c>
      <c r="F9" s="157">
        <f>CEIResumida!G82</f>
        <v>0</v>
      </c>
      <c r="G9" s="155">
        <f>CEIResumida!H82</f>
        <v>0</v>
      </c>
      <c r="H9" s="157">
        <f>SimulTRU!S57</f>
        <v>41010.999999999985</v>
      </c>
      <c r="I9" s="156">
        <f>CEIResumida!J82</f>
        <v>0</v>
      </c>
      <c r="J9" s="157">
        <f>SimulTRU!W57-SimulTRU!S57</f>
        <v>521606</v>
      </c>
      <c r="K9" s="156">
        <f>CEIResumida!L82</f>
        <v>0</v>
      </c>
      <c r="L9" s="157">
        <f>CEIResumida!M82</f>
        <v>0</v>
      </c>
      <c r="M9" s="158">
        <f t="shared" ref="M9:M29" si="1">C9+E9+G9+I9+K9-L9-J9-H9-F9-D9</f>
        <v>1.4551915228366852E-11</v>
      </c>
      <c r="R9" s="248">
        <f>253114</f>
        <v>253114</v>
      </c>
      <c r="S9" s="248">
        <v>0</v>
      </c>
      <c r="T9" s="248"/>
      <c r="U9" s="281">
        <f t="shared" ref="U9:U19" si="2">Y9</f>
        <v>0</v>
      </c>
      <c r="V9" s="248">
        <v>10455</v>
      </c>
      <c r="W9" s="248">
        <v>-27501</v>
      </c>
      <c r="X9" s="248">
        <f t="shared" ref="X9:X19" si="3">R9+S9+V9+W9</f>
        <v>236068</v>
      </c>
      <c r="Y9" s="281">
        <f>SimulTRU!CL40</f>
        <v>0</v>
      </c>
      <c r="Z9" s="248">
        <f t="shared" ref="Z9:Z19" si="4">X9+Y9</f>
        <v>236068</v>
      </c>
      <c r="AA9" s="248">
        <f>SimulTRU!CH40</f>
        <v>474640.99999999994</v>
      </c>
      <c r="AB9" s="248">
        <f>SimulTRU!CK40</f>
        <v>238572.99999999997</v>
      </c>
      <c r="AC9" s="139"/>
      <c r="AD9" s="231">
        <f t="shared" ref="AD9:AD20" si="5">IFERROR(R9/R48-1,0)</f>
        <v>0</v>
      </c>
      <c r="AE9" s="231">
        <f t="shared" si="0"/>
        <v>0</v>
      </c>
      <c r="AF9" s="231">
        <f t="shared" si="0"/>
        <v>0</v>
      </c>
      <c r="AG9" s="231">
        <f t="shared" si="0"/>
        <v>0</v>
      </c>
      <c r="AH9" s="231">
        <f t="shared" si="0"/>
        <v>0</v>
      </c>
      <c r="AI9" s="231">
        <f t="shared" si="0"/>
        <v>0</v>
      </c>
      <c r="AJ9" s="231">
        <f t="shared" si="0"/>
        <v>0</v>
      </c>
      <c r="AK9" s="231">
        <f t="shared" si="0"/>
        <v>0</v>
      </c>
      <c r="AL9" s="231">
        <f t="shared" si="0"/>
        <v>0</v>
      </c>
      <c r="AM9" s="231">
        <f t="shared" si="0"/>
        <v>0</v>
      </c>
    </row>
    <row r="10" spans="1:39">
      <c r="A10" s="367"/>
      <c r="B10" s="133" t="s">
        <v>542</v>
      </c>
      <c r="C10" s="234">
        <f>CEIResumida!D83</f>
        <v>0</v>
      </c>
      <c r="D10" s="235">
        <f>CEIResumida!E83</f>
        <v>0</v>
      </c>
      <c r="E10" s="155">
        <f>CEIResumida!F83</f>
        <v>0</v>
      </c>
      <c r="F10" s="157">
        <f>CEIResumida!G83</f>
        <v>0</v>
      </c>
      <c r="G10" s="155">
        <f>CEIResumida!H83</f>
        <v>0</v>
      </c>
      <c r="H10" s="157">
        <f>CEIResumida!I83</f>
        <v>0</v>
      </c>
      <c r="I10" s="156">
        <f>CEIResumida!J83</f>
        <v>0</v>
      </c>
      <c r="J10" s="157">
        <f>CEIResumida!K83</f>
        <v>0</v>
      </c>
      <c r="K10" s="156">
        <f>CEIResumida!L83</f>
        <v>0</v>
      </c>
      <c r="L10" s="157">
        <f>CEIResumida!M83</f>
        <v>0</v>
      </c>
      <c r="M10" s="158">
        <f t="shared" si="1"/>
        <v>0</v>
      </c>
      <c r="R10" s="248">
        <f>611468*1</f>
        <v>611468</v>
      </c>
      <c r="S10" s="248">
        <v>9716</v>
      </c>
      <c r="T10" s="248"/>
      <c r="U10" s="281">
        <f t="shared" si="2"/>
        <v>2148704.9999999995</v>
      </c>
      <c r="V10" s="248">
        <v>523356</v>
      </c>
      <c r="W10" s="248">
        <v>-2168</v>
      </c>
      <c r="X10" s="248">
        <f t="shared" si="3"/>
        <v>1142372</v>
      </c>
      <c r="Y10" s="281">
        <f>SimulTRU!CL41</f>
        <v>2148704.9999999995</v>
      </c>
      <c r="Z10" s="248">
        <f t="shared" si="4"/>
        <v>3291076.9999999995</v>
      </c>
      <c r="AA10" s="248">
        <f>SimulTRU!CH41</f>
        <v>6468661.9999999991</v>
      </c>
      <c r="AB10" s="248">
        <f>SimulTRU!CK41</f>
        <v>3177585</v>
      </c>
      <c r="AC10" s="139"/>
      <c r="AD10" s="231">
        <f t="shared" si="5"/>
        <v>0</v>
      </c>
      <c r="AE10" s="231">
        <f t="shared" si="0"/>
        <v>0</v>
      </c>
      <c r="AF10" s="231">
        <f t="shared" si="0"/>
        <v>0</v>
      </c>
      <c r="AG10" s="231">
        <f t="shared" si="0"/>
        <v>-2.2204460492503131E-16</v>
      </c>
      <c r="AH10" s="231">
        <f t="shared" si="0"/>
        <v>0</v>
      </c>
      <c r="AI10" s="231">
        <f t="shared" si="0"/>
        <v>0</v>
      </c>
      <c r="AJ10" s="231">
        <f t="shared" si="0"/>
        <v>0</v>
      </c>
      <c r="AK10" s="231">
        <f t="shared" si="0"/>
        <v>-2.2204460492503131E-16</v>
      </c>
      <c r="AL10" s="231">
        <f t="shared" si="0"/>
        <v>-1.1102230246251565E-16</v>
      </c>
      <c r="AM10" s="231">
        <f t="shared" si="0"/>
        <v>0</v>
      </c>
    </row>
    <row r="11" spans="1:39">
      <c r="A11" s="367"/>
      <c r="B11" s="134" t="s">
        <v>19</v>
      </c>
      <c r="C11" s="234">
        <f>CEIResumida!D84</f>
        <v>0</v>
      </c>
      <c r="D11" s="235">
        <f>CEIResumida!E84</f>
        <v>0</v>
      </c>
      <c r="E11" s="155">
        <f>SimulTRU!I24</f>
        <v>1014659.9999999999</v>
      </c>
      <c r="F11" s="157">
        <f>CEIResumida!G84</f>
        <v>0</v>
      </c>
      <c r="G11" s="155">
        <f>CEIResumida!H84</f>
        <v>0</v>
      </c>
      <c r="H11" s="157">
        <f>SimulTRU!I19</f>
        <v>67487.999999999985</v>
      </c>
      <c r="I11" s="156">
        <f>CEIResumida!J84</f>
        <v>0</v>
      </c>
      <c r="J11" s="157">
        <f>SimulTRU!I24-SimulTRU!I19</f>
        <v>947171.99999999988</v>
      </c>
      <c r="K11" s="156">
        <f>CEIResumida!L84</f>
        <v>0</v>
      </c>
      <c r="L11" s="157">
        <f>CEIResumida!M84</f>
        <v>0</v>
      </c>
      <c r="M11" s="158">
        <f t="shared" si="1"/>
        <v>1.4551915228366852E-11</v>
      </c>
      <c r="R11" s="248">
        <v>2</v>
      </c>
      <c r="S11" s="248">
        <v>0</v>
      </c>
      <c r="T11" s="248"/>
      <c r="U11" s="281">
        <f t="shared" si="2"/>
        <v>186575.99999999991</v>
      </c>
      <c r="V11" s="248">
        <v>0</v>
      </c>
      <c r="W11" s="248">
        <v>-60</v>
      </c>
      <c r="X11" s="248">
        <f t="shared" si="3"/>
        <v>-58</v>
      </c>
      <c r="Y11" s="281">
        <f>SimulTRU!CL42</f>
        <v>186575.99999999991</v>
      </c>
      <c r="Z11" s="248">
        <f t="shared" si="4"/>
        <v>186517.99999999991</v>
      </c>
      <c r="AA11" s="248">
        <f>SimulTRU!CH42</f>
        <v>532995.99999999977</v>
      </c>
      <c r="AB11" s="248">
        <f>SimulTRU!CK42</f>
        <v>346477.99999999994</v>
      </c>
      <c r="AC11" s="139"/>
      <c r="AD11" s="231">
        <f t="shared" si="5"/>
        <v>0</v>
      </c>
      <c r="AE11" s="231">
        <f t="shared" si="0"/>
        <v>0</v>
      </c>
      <c r="AF11" s="231">
        <f t="shared" si="0"/>
        <v>0</v>
      </c>
      <c r="AG11" s="231">
        <f t="shared" si="0"/>
        <v>-4.4408920985006262E-16</v>
      </c>
      <c r="AH11" s="231">
        <f t="shared" si="0"/>
        <v>0</v>
      </c>
      <c r="AI11" s="231">
        <f t="shared" si="0"/>
        <v>0</v>
      </c>
      <c r="AJ11" s="231">
        <f t="shared" si="0"/>
        <v>0</v>
      </c>
      <c r="AK11" s="231">
        <f t="shared" si="0"/>
        <v>-4.4408920985006262E-16</v>
      </c>
      <c r="AL11" s="231">
        <f t="shared" si="0"/>
        <v>-4.4408920985006262E-16</v>
      </c>
      <c r="AM11" s="231">
        <f t="shared" si="0"/>
        <v>0</v>
      </c>
    </row>
    <row r="12" spans="1:39" ht="16.5">
      <c r="A12" s="367"/>
      <c r="B12" s="135" t="s">
        <v>34</v>
      </c>
      <c r="C12" s="241">
        <f>CEIResumida!D85</f>
        <v>0</v>
      </c>
      <c r="D12" s="239">
        <f>CEIResumida!E85</f>
        <v>0</v>
      </c>
      <c r="E12" s="166">
        <f>SimulTRU!W64</f>
        <v>86390.999999999985</v>
      </c>
      <c r="F12" s="168">
        <f>CEIResumida!G85</f>
        <v>0</v>
      </c>
      <c r="G12" s="166">
        <f>CEIResumida!H85</f>
        <v>0</v>
      </c>
      <c r="H12" s="168">
        <f>SimulTRU!S64</f>
        <v>9261.9999999999982</v>
      </c>
      <c r="I12" s="167">
        <f>CEIResumida!J85</f>
        <v>0</v>
      </c>
      <c r="J12" s="168">
        <f>SimulTRU!W64-SimulTRU!S64</f>
        <v>77128.999999999985</v>
      </c>
      <c r="K12" s="167">
        <f>CEIResumida!L85</f>
        <v>0</v>
      </c>
      <c r="L12" s="168">
        <f>CEIResumida!M85</f>
        <v>0</v>
      </c>
      <c r="M12" s="158">
        <f t="shared" si="1"/>
        <v>1.8189894035458565E-12</v>
      </c>
      <c r="R12" s="248">
        <v>3481</v>
      </c>
      <c r="S12" s="248">
        <v>0</v>
      </c>
      <c r="T12" s="248"/>
      <c r="U12" s="281">
        <f t="shared" si="2"/>
        <v>0</v>
      </c>
      <c r="V12" s="248">
        <v>556609</v>
      </c>
      <c r="W12" s="248">
        <v>0</v>
      </c>
      <c r="X12" s="248">
        <f>R12+S12+V12+W12</f>
        <v>560090</v>
      </c>
      <c r="Y12" s="281">
        <f>SimulTRU!CL43</f>
        <v>0</v>
      </c>
      <c r="Z12" s="248">
        <f t="shared" si="4"/>
        <v>560090</v>
      </c>
      <c r="AA12" s="248">
        <f>SimulTRU!CH43</f>
        <v>683264.00000000035</v>
      </c>
      <c r="AB12" s="248">
        <f>SimulTRU!CK43</f>
        <v>123174.00000000003</v>
      </c>
      <c r="AC12" s="139"/>
      <c r="AD12" s="231">
        <f t="shared" si="5"/>
        <v>0</v>
      </c>
      <c r="AE12" s="231">
        <f t="shared" si="0"/>
        <v>0</v>
      </c>
      <c r="AF12" s="231">
        <f t="shared" si="0"/>
        <v>0</v>
      </c>
      <c r="AG12" s="231">
        <f t="shared" si="0"/>
        <v>0</v>
      </c>
      <c r="AH12" s="231">
        <f t="shared" si="0"/>
        <v>0</v>
      </c>
      <c r="AI12" s="231">
        <f t="shared" si="0"/>
        <v>0</v>
      </c>
      <c r="AJ12" s="231">
        <f t="shared" si="0"/>
        <v>0</v>
      </c>
      <c r="AK12" s="231">
        <f t="shared" si="0"/>
        <v>0</v>
      </c>
      <c r="AL12" s="231">
        <f t="shared" si="0"/>
        <v>0</v>
      </c>
      <c r="AM12" s="231">
        <f t="shared" si="0"/>
        <v>0</v>
      </c>
    </row>
    <row r="13" spans="1:39">
      <c r="A13" s="367" t="s">
        <v>556</v>
      </c>
      <c r="B13" s="132" t="s">
        <v>40</v>
      </c>
      <c r="C13" s="240">
        <f>CEIResumida!D86</f>
        <v>249546</v>
      </c>
      <c r="D13" s="238">
        <f>CEIResumida!E86</f>
        <v>205143</v>
      </c>
      <c r="E13" s="152">
        <f>CEIResumida!F86</f>
        <v>191053</v>
      </c>
      <c r="F13" s="154">
        <f>CEIResumida!G86</f>
        <v>446981</v>
      </c>
      <c r="G13" s="152">
        <f>CEIResumida!H86</f>
        <v>1235025</v>
      </c>
      <c r="H13" s="154">
        <f>CEIResumida!I86</f>
        <v>1060460</v>
      </c>
      <c r="I13" s="152">
        <f>CEIResumida!J86</f>
        <v>246213</v>
      </c>
      <c r="J13" s="154">
        <f>CEIResumida!K86</f>
        <v>282899</v>
      </c>
      <c r="K13" s="153">
        <f>CEIResumida!L86</f>
        <v>106219</v>
      </c>
      <c r="L13" s="154">
        <f>CEIResumida!M86</f>
        <v>32573</v>
      </c>
      <c r="M13" s="158">
        <f t="shared" si="1"/>
        <v>0</v>
      </c>
      <c r="R13" s="248">
        <v>4676</v>
      </c>
      <c r="S13" s="248">
        <v>0</v>
      </c>
      <c r="T13" s="248"/>
      <c r="U13" s="281">
        <f t="shared" si="2"/>
        <v>55911.999999999971</v>
      </c>
      <c r="V13" s="248">
        <v>0</v>
      </c>
      <c r="W13" s="248">
        <v>0</v>
      </c>
      <c r="X13" s="248">
        <f t="shared" si="3"/>
        <v>4676</v>
      </c>
      <c r="Y13" s="281">
        <f>SimulTRU!CL44</f>
        <v>55911.999999999971</v>
      </c>
      <c r="Z13" s="248">
        <f t="shared" si="4"/>
        <v>60587.999999999971</v>
      </c>
      <c r="AA13" s="248">
        <f>SimulTRU!CH44</f>
        <v>140736.99999999994</v>
      </c>
      <c r="AB13" s="248">
        <f>SimulTRU!CK44</f>
        <v>80148.999999999985</v>
      </c>
      <c r="AC13" s="139"/>
      <c r="AD13" s="231">
        <f t="shared" si="5"/>
        <v>0</v>
      </c>
      <c r="AE13" s="231">
        <f t="shared" si="0"/>
        <v>0</v>
      </c>
      <c r="AF13" s="231">
        <f t="shared" si="0"/>
        <v>0</v>
      </c>
      <c r="AG13" s="231">
        <f t="shared" si="0"/>
        <v>-5.5511151231257827E-16</v>
      </c>
      <c r="AH13" s="231">
        <f t="shared" si="0"/>
        <v>0</v>
      </c>
      <c r="AI13" s="231">
        <f t="shared" si="0"/>
        <v>0</v>
      </c>
      <c r="AJ13" s="231">
        <f t="shared" si="0"/>
        <v>0</v>
      </c>
      <c r="AK13" s="231">
        <f t="shared" si="0"/>
        <v>-5.5511151231257827E-16</v>
      </c>
      <c r="AL13" s="231">
        <f t="shared" si="0"/>
        <v>-4.4408920985006262E-16</v>
      </c>
      <c r="AM13" s="231">
        <f t="shared" si="0"/>
        <v>0</v>
      </c>
    </row>
    <row r="14" spans="1:39">
      <c r="A14" s="367"/>
      <c r="B14" s="133" t="s">
        <v>408</v>
      </c>
      <c r="C14" s="234">
        <f>CEIResumida!D87</f>
        <v>1888670</v>
      </c>
      <c r="D14" s="235">
        <f>CEIResumida!E87</f>
        <v>0</v>
      </c>
      <c r="E14" s="155">
        <f>CEIResumida!F87</f>
        <v>0</v>
      </c>
      <c r="F14" s="157">
        <f>CEIResumida!G87</f>
        <v>0</v>
      </c>
      <c r="G14" s="155">
        <f>CEIResumida!H87</f>
        <v>0</v>
      </c>
      <c r="H14" s="157">
        <f>CEIResumida!I87</f>
        <v>153250</v>
      </c>
      <c r="I14" s="155">
        <f>CEIResumida!J87</f>
        <v>0</v>
      </c>
      <c r="J14" s="157">
        <f>CEIResumida!K87</f>
        <v>1821126</v>
      </c>
      <c r="K14" s="156">
        <f>CEIResumida!L87</f>
        <v>85706</v>
      </c>
      <c r="L14" s="157">
        <f>CEIResumida!M87</f>
        <v>0</v>
      </c>
      <c r="M14" s="158">
        <f t="shared" si="1"/>
        <v>0</v>
      </c>
      <c r="R14" s="248">
        <v>34419</v>
      </c>
      <c r="S14" s="248">
        <v>0</v>
      </c>
      <c r="T14" s="248"/>
      <c r="U14" s="281">
        <f>Y14</f>
        <v>109782.99999999996</v>
      </c>
      <c r="V14" s="248">
        <v>0</v>
      </c>
      <c r="W14" s="248">
        <v>0</v>
      </c>
      <c r="X14" s="248">
        <f t="shared" si="3"/>
        <v>34419</v>
      </c>
      <c r="Y14" s="281">
        <f>SimulTRU!CL45</f>
        <v>109782.99999999996</v>
      </c>
      <c r="Z14" s="248">
        <f t="shared" si="4"/>
        <v>144201.99999999994</v>
      </c>
      <c r="AA14" s="248">
        <f>SimulTRU!CH45</f>
        <v>568287.99999999977</v>
      </c>
      <c r="AB14" s="248">
        <f>SimulTRU!CK45</f>
        <v>424085.99999999988</v>
      </c>
      <c r="AC14" s="139"/>
      <c r="AD14" s="231">
        <f t="shared" si="5"/>
        <v>0</v>
      </c>
      <c r="AE14" s="231">
        <f t="shared" si="0"/>
        <v>0</v>
      </c>
      <c r="AF14" s="231">
        <f t="shared" si="0"/>
        <v>0</v>
      </c>
      <c r="AG14" s="231">
        <f t="shared" si="0"/>
        <v>-4.4408920985006262E-16</v>
      </c>
      <c r="AH14" s="231">
        <f t="shared" si="0"/>
        <v>0</v>
      </c>
      <c r="AI14" s="231">
        <f t="shared" si="0"/>
        <v>0</v>
      </c>
      <c r="AJ14" s="231">
        <f t="shared" si="0"/>
        <v>0</v>
      </c>
      <c r="AK14" s="231">
        <f t="shared" si="0"/>
        <v>-4.4408920985006262E-16</v>
      </c>
      <c r="AL14" s="231">
        <f t="shared" si="0"/>
        <v>-4.4408920985006262E-16</v>
      </c>
      <c r="AM14" s="231">
        <f t="shared" si="0"/>
        <v>0</v>
      </c>
    </row>
    <row r="15" spans="1:39">
      <c r="A15" s="367"/>
      <c r="B15" s="133" t="s">
        <v>392</v>
      </c>
      <c r="C15" s="234">
        <f>CEIResumida!D88</f>
        <v>0</v>
      </c>
      <c r="D15" s="235">
        <f>CEIResumida!E88</f>
        <v>0</v>
      </c>
      <c r="E15" s="155">
        <f>CEIResumida!F88</f>
        <v>0</v>
      </c>
      <c r="F15" s="157">
        <f>CEIResumida!G88</f>
        <v>0</v>
      </c>
      <c r="G15" s="155">
        <f>CEIResumida!H88</f>
        <v>0</v>
      </c>
      <c r="H15" s="157">
        <f>CEIResumida!I88</f>
        <v>0</v>
      </c>
      <c r="I15" s="155">
        <f>CEIResumida!J88</f>
        <v>0</v>
      </c>
      <c r="J15" s="157">
        <f>CEIResumida!K88</f>
        <v>0</v>
      </c>
      <c r="K15" s="156">
        <f>CEIResumida!L88</f>
        <v>0</v>
      </c>
      <c r="L15" s="157">
        <f>CEIResumida!M88</f>
        <v>0</v>
      </c>
      <c r="M15" s="158">
        <f t="shared" si="1"/>
        <v>0</v>
      </c>
      <c r="R15" s="248">
        <v>15282</v>
      </c>
      <c r="S15" s="248">
        <v>0</v>
      </c>
      <c r="T15" s="248"/>
      <c r="U15" s="281">
        <f>Y15</f>
        <v>152609.99999999994</v>
      </c>
      <c r="V15" s="248">
        <v>100913</v>
      </c>
      <c r="W15" s="248">
        <v>-1455</v>
      </c>
      <c r="X15" s="248">
        <f t="shared" si="3"/>
        <v>114740</v>
      </c>
      <c r="Y15" s="281">
        <f>SimulTRU!CL46</f>
        <v>152609.99999999994</v>
      </c>
      <c r="Z15" s="248">
        <f t="shared" si="4"/>
        <v>267349.99999999994</v>
      </c>
      <c r="AA15" s="248">
        <f>SimulTRU!CH46</f>
        <v>535540.99999999988</v>
      </c>
      <c r="AB15" s="248">
        <f>SimulTRU!CK46</f>
        <v>268191</v>
      </c>
      <c r="AC15" s="139"/>
      <c r="AD15" s="231">
        <f t="shared" si="5"/>
        <v>0</v>
      </c>
      <c r="AE15" s="231">
        <f t="shared" si="0"/>
        <v>0</v>
      </c>
      <c r="AF15" s="231">
        <f t="shared" si="0"/>
        <v>0</v>
      </c>
      <c r="AG15" s="231">
        <f t="shared" si="0"/>
        <v>-3.3306690738754696E-16</v>
      </c>
      <c r="AH15" s="231">
        <f t="shared" si="0"/>
        <v>0</v>
      </c>
      <c r="AI15" s="231">
        <f t="shared" si="0"/>
        <v>0</v>
      </c>
      <c r="AJ15" s="231">
        <f t="shared" si="0"/>
        <v>0</v>
      </c>
      <c r="AK15" s="231">
        <f t="shared" si="0"/>
        <v>-3.3306690738754696E-16</v>
      </c>
      <c r="AL15" s="231">
        <f t="shared" si="0"/>
        <v>-2.2204460492503131E-16</v>
      </c>
      <c r="AM15" s="231">
        <f t="shared" si="0"/>
        <v>0</v>
      </c>
    </row>
    <row r="16" spans="1:39">
      <c r="A16" s="367"/>
      <c r="B16" s="133" t="s">
        <v>401</v>
      </c>
      <c r="C16" s="234">
        <f>CEIResumida!D89</f>
        <v>0</v>
      </c>
      <c r="D16" s="235">
        <f>CEIResumida!E89</f>
        <v>0</v>
      </c>
      <c r="E16" s="155">
        <f>CEIResumida!F89</f>
        <v>0</v>
      </c>
      <c r="F16" s="157">
        <f>CEIResumida!G89</f>
        <v>0</v>
      </c>
      <c r="G16" s="155">
        <f>CEIResumida!H89</f>
        <v>0</v>
      </c>
      <c r="H16" s="157">
        <f>CEIResumida!I89</f>
        <v>0</v>
      </c>
      <c r="I16" s="155">
        <f>CEIResumida!J89</f>
        <v>0</v>
      </c>
      <c r="J16" s="157">
        <f>CEIResumida!K89</f>
        <v>0</v>
      </c>
      <c r="K16" s="156">
        <f>CEIResumida!L89</f>
        <v>0</v>
      </c>
      <c r="L16" s="157">
        <f>CEIResumida!M89</f>
        <v>0</v>
      </c>
      <c r="M16" s="158">
        <f t="shared" si="1"/>
        <v>0</v>
      </c>
      <c r="R16" s="248">
        <v>6943</v>
      </c>
      <c r="S16" s="248">
        <v>2165</v>
      </c>
      <c r="T16" s="248"/>
      <c r="U16" s="281">
        <f>Y16</f>
        <v>379658.99999999988</v>
      </c>
      <c r="V16" s="248">
        <v>0</v>
      </c>
      <c r="W16" s="248">
        <v>0</v>
      </c>
      <c r="X16" s="248">
        <f t="shared" si="3"/>
        <v>9108</v>
      </c>
      <c r="Y16" s="281">
        <f>SimulTRU!CL47</f>
        <v>379658.99999999988</v>
      </c>
      <c r="Z16" s="248">
        <f t="shared" si="4"/>
        <v>388766.99999999988</v>
      </c>
      <c r="AA16" s="248">
        <f>SimulTRU!CH47</f>
        <v>800075.99999999977</v>
      </c>
      <c r="AB16" s="248">
        <f>SimulTRU!CK47</f>
        <v>411308.99999999994</v>
      </c>
      <c r="AC16" s="139"/>
      <c r="AD16" s="231">
        <f t="shared" si="5"/>
        <v>0</v>
      </c>
      <c r="AE16" s="231">
        <f t="shared" si="0"/>
        <v>0</v>
      </c>
      <c r="AF16" s="231">
        <f t="shared" si="0"/>
        <v>0</v>
      </c>
      <c r="AG16" s="231">
        <f t="shared" si="0"/>
        <v>-3.3306690738754696E-16</v>
      </c>
      <c r="AH16" s="231">
        <f t="shared" si="0"/>
        <v>0</v>
      </c>
      <c r="AI16" s="231">
        <f t="shared" si="0"/>
        <v>0</v>
      </c>
      <c r="AJ16" s="231">
        <f t="shared" si="0"/>
        <v>0</v>
      </c>
      <c r="AK16" s="231">
        <f t="shared" si="0"/>
        <v>-3.3306690738754696E-16</v>
      </c>
      <c r="AL16" s="231">
        <f t="shared" si="0"/>
        <v>-3.3306690738754696E-16</v>
      </c>
      <c r="AM16" s="231">
        <f t="shared" si="0"/>
        <v>0</v>
      </c>
    </row>
    <row r="17" spans="1:39">
      <c r="A17" s="367"/>
      <c r="B17" s="243" t="s">
        <v>288</v>
      </c>
      <c r="C17" s="241">
        <f>CEIResumida!D90</f>
        <v>0</v>
      </c>
      <c r="D17" s="239">
        <f>CEIResumida!E90</f>
        <v>0</v>
      </c>
      <c r="E17" s="166">
        <f>CEIResumida!F90</f>
        <v>0</v>
      </c>
      <c r="F17" s="168">
        <f>CEIResumida!G90</f>
        <v>0</v>
      </c>
      <c r="G17" s="166">
        <f>CEIResumida!H90</f>
        <v>0</v>
      </c>
      <c r="H17" s="168">
        <f>CEIResumida!I90</f>
        <v>0</v>
      </c>
      <c r="I17" s="166">
        <f>CEIResumida!J90</f>
        <v>0</v>
      </c>
      <c r="J17" s="168">
        <f>CEIResumida!K90</f>
        <v>0</v>
      </c>
      <c r="K17" s="167">
        <f>CEIResumida!L90</f>
        <v>0</v>
      </c>
      <c r="L17" s="168">
        <f>CEIResumida!M90</f>
        <v>0</v>
      </c>
      <c r="M17" s="158">
        <f t="shared" si="1"/>
        <v>0</v>
      </c>
      <c r="R17" s="248">
        <v>4688</v>
      </c>
      <c r="S17" s="248">
        <v>0</v>
      </c>
      <c r="T17" s="248"/>
      <c r="U17" s="281">
        <f t="shared" si="2"/>
        <v>643203.00000000012</v>
      </c>
      <c r="V17" s="248">
        <v>0</v>
      </c>
      <c r="W17" s="248">
        <v>0</v>
      </c>
      <c r="X17" s="248">
        <f t="shared" si="3"/>
        <v>4688</v>
      </c>
      <c r="Y17" s="281">
        <f>SimulTRU!CL48</f>
        <v>643203.00000000012</v>
      </c>
      <c r="Z17" s="248">
        <f t="shared" si="4"/>
        <v>647891.00000000012</v>
      </c>
      <c r="AA17" s="248">
        <f>SimulTRU!CH48</f>
        <v>793035.00000000012</v>
      </c>
      <c r="AB17" s="248">
        <f>SimulTRU!CK48</f>
        <v>145143.99999999997</v>
      </c>
      <c r="AC17" s="139"/>
      <c r="AD17" s="231">
        <f t="shared" si="5"/>
        <v>0</v>
      </c>
      <c r="AE17" s="231">
        <f t="shared" si="0"/>
        <v>0</v>
      </c>
      <c r="AF17" s="231">
        <f t="shared" si="0"/>
        <v>0</v>
      </c>
      <c r="AG17" s="231">
        <f t="shared" si="0"/>
        <v>2.2204460492503131E-16</v>
      </c>
      <c r="AH17" s="231">
        <f t="shared" si="0"/>
        <v>0</v>
      </c>
      <c r="AI17" s="231">
        <f t="shared" si="0"/>
        <v>0</v>
      </c>
      <c r="AJ17" s="231">
        <f t="shared" si="0"/>
        <v>0</v>
      </c>
      <c r="AK17" s="231">
        <f t="shared" si="0"/>
        <v>2.2204460492503131E-16</v>
      </c>
      <c r="AL17" s="231">
        <f t="shared" si="0"/>
        <v>2.2204460492503131E-16</v>
      </c>
      <c r="AM17" s="231">
        <f t="shared" si="0"/>
        <v>0</v>
      </c>
    </row>
    <row r="18" spans="1:39" ht="16.5">
      <c r="A18" s="367" t="s">
        <v>553</v>
      </c>
      <c r="B18" s="159" t="s">
        <v>453</v>
      </c>
      <c r="C18" s="234">
        <f>CEIResumida!D91</f>
        <v>0</v>
      </c>
      <c r="D18" s="235">
        <f>CEIResumida!E91</f>
        <v>362776</v>
      </c>
      <c r="E18" s="155">
        <f>D18+H18+J18</f>
        <v>917257</v>
      </c>
      <c r="F18" s="157">
        <f>CEIResumida!G91</f>
        <v>0</v>
      </c>
      <c r="G18" s="155">
        <f>CEIResumida!H91</f>
        <v>0</v>
      </c>
      <c r="H18" s="235">
        <f>CEIResumida!I91</f>
        <v>42715</v>
      </c>
      <c r="I18" s="155">
        <f>CEIResumida!J91</f>
        <v>0</v>
      </c>
      <c r="J18" s="235">
        <f>CEIResumida!K91</f>
        <v>511766</v>
      </c>
      <c r="K18" s="156">
        <f>CEIResumida!L91</f>
        <v>0</v>
      </c>
      <c r="L18" s="157">
        <f>CEIResumida!M91</f>
        <v>0</v>
      </c>
      <c r="M18" s="158">
        <f t="shared" si="1"/>
        <v>0</v>
      </c>
      <c r="R18" s="248">
        <v>76293</v>
      </c>
      <c r="S18" s="248">
        <f>54812</f>
        <v>54812</v>
      </c>
      <c r="T18" s="248"/>
      <c r="U18" s="281">
        <f t="shared" si="2"/>
        <v>915862</v>
      </c>
      <c r="V18" s="248">
        <v>46584</v>
      </c>
      <c r="W18" s="248">
        <v>0</v>
      </c>
      <c r="X18" s="248">
        <f t="shared" si="3"/>
        <v>177689</v>
      </c>
      <c r="Y18" s="281">
        <f>SimulTRU!CL49</f>
        <v>915862</v>
      </c>
      <c r="Z18" s="248">
        <f t="shared" si="4"/>
        <v>1093551</v>
      </c>
      <c r="AA18" s="248">
        <f>SimulTRU!CH49</f>
        <v>2125358</v>
      </c>
      <c r="AB18" s="248">
        <f>SimulTRU!CK49</f>
        <v>1031806.9999999999</v>
      </c>
      <c r="AC18" s="139"/>
      <c r="AD18" s="231">
        <f t="shared" si="5"/>
        <v>0</v>
      </c>
      <c r="AE18" s="231">
        <f t="shared" si="0"/>
        <v>0</v>
      </c>
      <c r="AF18" s="231">
        <f t="shared" si="0"/>
        <v>0</v>
      </c>
      <c r="AG18" s="231">
        <f t="shared" si="0"/>
        <v>0</v>
      </c>
      <c r="AH18" s="231">
        <f t="shared" si="0"/>
        <v>0</v>
      </c>
      <c r="AI18" s="231">
        <f t="shared" si="0"/>
        <v>0</v>
      </c>
      <c r="AJ18" s="231">
        <f t="shared" si="0"/>
        <v>0</v>
      </c>
      <c r="AK18" s="231">
        <f t="shared" si="0"/>
        <v>0</v>
      </c>
      <c r="AL18" s="231">
        <f t="shared" si="0"/>
        <v>0</v>
      </c>
      <c r="AM18" s="231">
        <f t="shared" si="0"/>
        <v>0</v>
      </c>
    </row>
    <row r="19" spans="1:39" ht="9" thickBot="1">
      <c r="A19" s="367"/>
      <c r="B19" s="134" t="s">
        <v>50</v>
      </c>
      <c r="C19" s="234">
        <f>CEIResumida!D92</f>
        <v>0</v>
      </c>
      <c r="D19" s="235">
        <f>CEIResumida!E92</f>
        <v>895266</v>
      </c>
      <c r="E19" s="155">
        <f>CEIResumida!F92</f>
        <v>800730</v>
      </c>
      <c r="F19" s="157">
        <f>CEIResumida!G92</f>
        <v>0</v>
      </c>
      <c r="G19" s="155">
        <f>CEIResumida!H92</f>
        <v>94536</v>
      </c>
      <c r="H19" s="157">
        <f>CEIResumida!I92</f>
        <v>0</v>
      </c>
      <c r="I19" s="155">
        <f>CEIResumida!J92</f>
        <v>0</v>
      </c>
      <c r="J19" s="157">
        <f>CEIResumida!K92</f>
        <v>0</v>
      </c>
      <c r="K19" s="156">
        <f>CEIResumida!L92</f>
        <v>0</v>
      </c>
      <c r="L19" s="157">
        <f>CEIResumida!M92</f>
        <v>0</v>
      </c>
      <c r="M19" s="158">
        <f t="shared" si="1"/>
        <v>0</v>
      </c>
      <c r="R19" s="248">
        <v>0</v>
      </c>
      <c r="S19" s="248">
        <f>1465281*1</f>
        <v>1465281</v>
      </c>
      <c r="T19" s="248"/>
      <c r="U19" s="281">
        <f t="shared" si="2"/>
        <v>0</v>
      </c>
      <c r="V19" s="248">
        <v>0</v>
      </c>
      <c r="W19" s="248">
        <v>0</v>
      </c>
      <c r="X19" s="248">
        <f t="shared" si="3"/>
        <v>1465281</v>
      </c>
      <c r="Y19" s="281">
        <f>SimulTRU!CL50</f>
        <v>0</v>
      </c>
      <c r="Z19" s="248">
        <f t="shared" si="4"/>
        <v>1465281</v>
      </c>
      <c r="AA19" s="248">
        <f>SimulTRU!CH50</f>
        <v>1465281</v>
      </c>
      <c r="AB19" s="248">
        <f>SimulTRU!CK50</f>
        <v>0</v>
      </c>
      <c r="AC19" s="139"/>
      <c r="AD19" s="231">
        <f t="shared" si="5"/>
        <v>0</v>
      </c>
      <c r="AE19" s="231">
        <f t="shared" si="0"/>
        <v>0</v>
      </c>
      <c r="AF19" s="231">
        <f t="shared" si="0"/>
        <v>0</v>
      </c>
      <c r="AG19" s="231">
        <f t="shared" si="0"/>
        <v>0</v>
      </c>
      <c r="AH19" s="231">
        <f t="shared" si="0"/>
        <v>0</v>
      </c>
      <c r="AI19" s="231">
        <f t="shared" si="0"/>
        <v>0</v>
      </c>
      <c r="AJ19" s="231">
        <f t="shared" si="0"/>
        <v>0</v>
      </c>
      <c r="AK19" s="231">
        <f t="shared" si="0"/>
        <v>0</v>
      </c>
      <c r="AL19" s="231">
        <f t="shared" si="0"/>
        <v>0</v>
      </c>
      <c r="AM19" s="231">
        <f t="shared" si="0"/>
        <v>0</v>
      </c>
    </row>
    <row r="20" spans="1:39" ht="17.25" thickTop="1">
      <c r="A20" s="367"/>
      <c r="B20" s="134" t="s">
        <v>455</v>
      </c>
      <c r="C20" s="234">
        <f>CEIResumida!D93</f>
        <v>1254637</v>
      </c>
      <c r="D20" s="235">
        <f>CEIResumida!E93</f>
        <v>0</v>
      </c>
      <c r="E20" s="155">
        <f>CEIResumida!F93</f>
        <v>0</v>
      </c>
      <c r="F20" s="157">
        <f>CEIResumida!G93</f>
        <v>1254637</v>
      </c>
      <c r="G20" s="155">
        <f>CEIResumida!H93</f>
        <v>0</v>
      </c>
      <c r="H20" s="157">
        <f>CEIResumida!I93</f>
        <v>0</v>
      </c>
      <c r="I20" s="155">
        <f>CEIResumida!J93</f>
        <v>0</v>
      </c>
      <c r="J20" s="157">
        <f>CEIResumida!K93</f>
        <v>0</v>
      </c>
      <c r="K20" s="156">
        <f>CEIResumida!L93</f>
        <v>0</v>
      </c>
      <c r="L20" s="157">
        <f>CEIResumida!M93</f>
        <v>0</v>
      </c>
      <c r="M20" s="158">
        <f t="shared" si="1"/>
        <v>0</v>
      </c>
      <c r="R20" s="252">
        <f>SUM(R8:R19)</f>
        <v>1252049</v>
      </c>
      <c r="S20" s="252">
        <f t="shared" ref="S20:AA20" si="6">SUM(S8:S19)</f>
        <v>1532204</v>
      </c>
      <c r="T20" s="252">
        <f t="shared" si="6"/>
        <v>0</v>
      </c>
      <c r="U20" s="252">
        <f>SUM(U8:U19)</f>
        <v>4805004</v>
      </c>
      <c r="V20" s="252">
        <f>SUM(V8:V19)</f>
        <v>1260227</v>
      </c>
      <c r="W20" s="252">
        <f t="shared" si="6"/>
        <v>-33878</v>
      </c>
      <c r="X20" s="252">
        <f t="shared" si="6"/>
        <v>4010602</v>
      </c>
      <c r="Y20" s="252">
        <f>SUM(Y8:Y19)</f>
        <v>4805004</v>
      </c>
      <c r="Z20" s="252">
        <f>SUM(Z8:Z19)</f>
        <v>8815606</v>
      </c>
      <c r="AA20" s="252">
        <f t="shared" si="6"/>
        <v>15526867.999999998</v>
      </c>
      <c r="AB20" s="276"/>
      <c r="AD20" s="257">
        <f t="shared" si="5"/>
        <v>0</v>
      </c>
      <c r="AE20" s="257">
        <f t="shared" si="0"/>
        <v>0</v>
      </c>
      <c r="AF20" s="257">
        <f t="shared" si="0"/>
        <v>0</v>
      </c>
      <c r="AG20" s="257">
        <f t="shared" si="0"/>
        <v>0</v>
      </c>
      <c r="AH20" s="257">
        <f t="shared" si="0"/>
        <v>0</v>
      </c>
      <c r="AI20" s="257">
        <f t="shared" si="0"/>
        <v>0</v>
      </c>
      <c r="AJ20" s="257">
        <f t="shared" si="0"/>
        <v>0</v>
      </c>
      <c r="AK20" s="257">
        <f t="shared" si="0"/>
        <v>0</v>
      </c>
      <c r="AL20" s="257">
        <f t="shared" si="0"/>
        <v>0</v>
      </c>
      <c r="AM20" s="257">
        <f t="shared" si="0"/>
        <v>0</v>
      </c>
    </row>
    <row r="21" spans="1:39" ht="11.25" customHeight="1" thickBot="1">
      <c r="A21" s="367"/>
      <c r="B21" s="134" t="s">
        <v>456</v>
      </c>
      <c r="C21" s="234">
        <f>CEIResumida!D94</f>
        <v>717798</v>
      </c>
      <c r="D21" s="235">
        <f>CEIResumida!E94</f>
        <v>0</v>
      </c>
      <c r="E21" s="155">
        <f>CEIResumida!F94</f>
        <v>0</v>
      </c>
      <c r="F21" s="157">
        <f>CEIResumida!G94</f>
        <v>624646</v>
      </c>
      <c r="G21" s="155">
        <f>CEIResumida!H94</f>
        <v>0</v>
      </c>
      <c r="H21" s="157">
        <f>CEIResumida!I94</f>
        <v>93152</v>
      </c>
      <c r="I21" s="155">
        <f>CEIResumida!J94</f>
        <v>0</v>
      </c>
      <c r="J21" s="157">
        <f>CEIResumida!K94</f>
        <v>0</v>
      </c>
      <c r="K21" s="156">
        <f>CEIResumida!L94</f>
        <v>0</v>
      </c>
      <c r="L21" s="157">
        <f>CEIResumida!M94</f>
        <v>0</v>
      </c>
      <c r="M21" s="158">
        <f t="shared" si="1"/>
        <v>0</v>
      </c>
    </row>
    <row r="22" spans="1:39" ht="9" customHeight="1" thickTop="1">
      <c r="A22" s="367"/>
      <c r="B22" s="135" t="s">
        <v>65</v>
      </c>
      <c r="C22" s="241">
        <f>CEIResumida!D95</f>
        <v>35242</v>
      </c>
      <c r="D22" s="239">
        <f>CEIResumida!E95</f>
        <v>0</v>
      </c>
      <c r="E22" s="166">
        <f>CEIResumida!F95</f>
        <v>70054</v>
      </c>
      <c r="F22" s="168">
        <f>CEIResumida!G95</f>
        <v>0</v>
      </c>
      <c r="G22" s="166">
        <f>CEIResumida!H95</f>
        <v>0</v>
      </c>
      <c r="H22" s="168">
        <f>CEIResumida!I95</f>
        <v>13352</v>
      </c>
      <c r="I22" s="166">
        <f>CEIResumida!J95</f>
        <v>0</v>
      </c>
      <c r="J22" s="168">
        <f>CEIResumida!K95</f>
        <v>59170</v>
      </c>
      <c r="K22" s="167">
        <f>CEIResumida!L95</f>
        <v>0</v>
      </c>
      <c r="L22" s="168">
        <f>CEIResumida!M95</f>
        <v>32774</v>
      </c>
      <c r="M22" s="158">
        <f t="shared" si="1"/>
        <v>0</v>
      </c>
      <c r="O22" s="128" t="s">
        <v>516</v>
      </c>
      <c r="R22" s="424" t="s">
        <v>518</v>
      </c>
      <c r="S22" s="424" t="s">
        <v>519</v>
      </c>
      <c r="T22" s="421"/>
      <c r="U22" s="421" t="s">
        <v>521</v>
      </c>
      <c r="V22" s="421" t="s">
        <v>522</v>
      </c>
      <c r="W22" s="421" t="s">
        <v>523</v>
      </c>
      <c r="X22" s="421" t="s">
        <v>562</v>
      </c>
      <c r="Y22" s="421" t="s">
        <v>561</v>
      </c>
      <c r="Z22" s="421" t="s">
        <v>516</v>
      </c>
      <c r="AA22" s="421" t="s">
        <v>563</v>
      </c>
      <c r="AB22" s="275"/>
      <c r="AD22" s="424" t="s">
        <v>518</v>
      </c>
      <c r="AE22" s="424" t="s">
        <v>519</v>
      </c>
      <c r="AF22" s="421"/>
      <c r="AG22" s="421" t="s">
        <v>521</v>
      </c>
      <c r="AH22" s="421" t="s">
        <v>522</v>
      </c>
      <c r="AI22" s="421" t="s">
        <v>523</v>
      </c>
      <c r="AJ22" s="421" t="s">
        <v>562</v>
      </c>
      <c r="AK22" s="421" t="s">
        <v>561</v>
      </c>
      <c r="AL22" s="421" t="s">
        <v>516</v>
      </c>
      <c r="AM22" s="421" t="s">
        <v>563</v>
      </c>
    </row>
    <row r="23" spans="1:39" ht="8.25" customHeight="1">
      <c r="A23" s="367" t="s">
        <v>554</v>
      </c>
      <c r="B23" s="134" t="s">
        <v>79</v>
      </c>
      <c r="C23" s="234">
        <f>CEIResumida!D96</f>
        <v>0</v>
      </c>
      <c r="D23" s="292">
        <f>U20</f>
        <v>4805004</v>
      </c>
      <c r="E23" s="155">
        <f>CEIResumida!F96</f>
        <v>0</v>
      </c>
      <c r="F23" s="157">
        <f>S20</f>
        <v>1532204</v>
      </c>
      <c r="G23" s="155">
        <f>CEIResumida!H96</f>
        <v>0</v>
      </c>
      <c r="H23" s="157">
        <f>CEIResumida!I96</f>
        <v>0</v>
      </c>
      <c r="I23" s="155">
        <f>CEIResumida!J96</f>
        <v>0</v>
      </c>
      <c r="J23" s="157">
        <f>CEIResumida!K96</f>
        <v>0</v>
      </c>
      <c r="K23" s="156">
        <f>CEIResumida!L96</f>
        <v>0</v>
      </c>
      <c r="L23" s="157">
        <f>CEIResumida!M96</f>
        <v>0</v>
      </c>
      <c r="M23" s="158">
        <f t="shared" si="1"/>
        <v>-6337208</v>
      </c>
      <c r="O23" s="158">
        <f>D23+D25+F23+F25+H25+J25+J26+L7</f>
        <v>8815606</v>
      </c>
      <c r="R23" s="425"/>
      <c r="S23" s="425"/>
      <c r="T23" s="422"/>
      <c r="U23" s="422"/>
      <c r="V23" s="427"/>
      <c r="W23" s="427"/>
      <c r="X23" s="422"/>
      <c r="Y23" s="422"/>
      <c r="Z23" s="422"/>
      <c r="AA23" s="422"/>
      <c r="AB23" s="275"/>
      <c r="AD23" s="425"/>
      <c r="AE23" s="425"/>
      <c r="AF23" s="422"/>
      <c r="AG23" s="422"/>
      <c r="AH23" s="427"/>
      <c r="AI23" s="427"/>
      <c r="AJ23" s="422"/>
      <c r="AK23" s="422"/>
      <c r="AL23" s="422"/>
      <c r="AM23" s="422"/>
    </row>
    <row r="24" spans="1:39" ht="8.25" customHeight="1">
      <c r="A24" s="367"/>
      <c r="B24" s="134" t="s">
        <v>404</v>
      </c>
      <c r="C24" s="234">
        <f>CEIResumida!D97</f>
        <v>0</v>
      </c>
      <c r="D24" s="235">
        <f>CEIResumida!E97</f>
        <v>0</v>
      </c>
      <c r="E24" s="155">
        <f>CEIResumida!F97</f>
        <v>0</v>
      </c>
      <c r="F24" s="157">
        <f>CEIResumida!G97</f>
        <v>0</v>
      </c>
      <c r="G24" s="155">
        <f>CEIResumida!H97</f>
        <v>0</v>
      </c>
      <c r="H24" s="157">
        <f>CEIResumida!I97</f>
        <v>0</v>
      </c>
      <c r="I24" s="155">
        <f>CEIResumida!J97</f>
        <v>0</v>
      </c>
      <c r="J24" s="157">
        <f>CEIResumida!K97</f>
        <v>0</v>
      </c>
      <c r="K24" s="156">
        <f>CEIResumida!L97</f>
        <v>0</v>
      </c>
      <c r="L24" s="157">
        <f>CEIResumida!M97</f>
        <v>0</v>
      </c>
      <c r="M24" s="158">
        <f t="shared" si="1"/>
        <v>0</v>
      </c>
      <c r="R24" s="425"/>
      <c r="S24" s="425"/>
      <c r="T24" s="422"/>
      <c r="U24" s="422"/>
      <c r="V24" s="427"/>
      <c r="W24" s="427"/>
      <c r="X24" s="422"/>
      <c r="Y24" s="422"/>
      <c r="Z24" s="422"/>
      <c r="AA24" s="422"/>
      <c r="AB24" s="275"/>
      <c r="AD24" s="425"/>
      <c r="AE24" s="425"/>
      <c r="AF24" s="422"/>
      <c r="AG24" s="422"/>
      <c r="AH24" s="427"/>
      <c r="AI24" s="427"/>
      <c r="AJ24" s="422"/>
      <c r="AK24" s="422"/>
      <c r="AL24" s="422"/>
      <c r="AM24" s="422"/>
    </row>
    <row r="25" spans="1:39" ht="9" customHeight="1" thickBot="1">
      <c r="A25" s="367"/>
      <c r="B25" s="134" t="s">
        <v>87</v>
      </c>
      <c r="C25" s="234">
        <f>CEIResumida!D98</f>
        <v>0</v>
      </c>
      <c r="D25" s="235">
        <f>(SUM(C8:C22)-SUM(D8:D22))*ParâmetrosCEI!D58</f>
        <v>410010</v>
      </c>
      <c r="E25" s="155">
        <f>CEIResumida!F98</f>
        <v>0</v>
      </c>
      <c r="F25" s="157">
        <f>CEIResumida!G98</f>
        <v>139686</v>
      </c>
      <c r="G25" s="155">
        <f>CEIResumida!H98</f>
        <v>0</v>
      </c>
      <c r="H25" s="157">
        <f>CEIResumida!I98</f>
        <v>13718</v>
      </c>
      <c r="I25" s="155">
        <f>CEIResumida!J98</f>
        <v>0</v>
      </c>
      <c r="J25" s="157">
        <f>CEIResumida!K98</f>
        <v>696813</v>
      </c>
      <c r="K25" s="156">
        <f>CEIResumida!L98</f>
        <v>0</v>
      </c>
      <c r="L25" s="157">
        <f>CEIResumida!M98</f>
        <v>0</v>
      </c>
      <c r="M25" s="158">
        <f>C25+E25+G25+I25+K25-L25-J25-H25-F25-D25</f>
        <v>-1260227</v>
      </c>
      <c r="N25" s="274" t="s">
        <v>568</v>
      </c>
      <c r="O25" s="158">
        <f>Z20</f>
        <v>8815606</v>
      </c>
      <c r="R25" s="426"/>
      <c r="S25" s="426"/>
      <c r="T25" s="423"/>
      <c r="U25" s="423"/>
      <c r="V25" s="428"/>
      <c r="W25" s="428"/>
      <c r="X25" s="423"/>
      <c r="Y25" s="423"/>
      <c r="Z25" s="423"/>
      <c r="AA25" s="423"/>
      <c r="AB25" s="275"/>
      <c r="AD25" s="426"/>
      <c r="AE25" s="426"/>
      <c r="AF25" s="423"/>
      <c r="AG25" s="423"/>
      <c r="AH25" s="428"/>
      <c r="AI25" s="428"/>
      <c r="AJ25" s="423"/>
      <c r="AK25" s="423"/>
      <c r="AL25" s="423"/>
      <c r="AM25" s="423"/>
    </row>
    <row r="26" spans="1:39" ht="9" thickTop="1">
      <c r="A26" s="367"/>
      <c r="B26" s="134" t="s">
        <v>89</v>
      </c>
      <c r="C26" s="234">
        <f>CEIResumida!D99</f>
        <v>0</v>
      </c>
      <c r="D26" s="235">
        <f>CEIResumida!E99</f>
        <v>0</v>
      </c>
      <c r="E26" s="155">
        <f>CEIResumida!F99</f>
        <v>0</v>
      </c>
      <c r="F26" s="157">
        <f>CEIResumida!G99</f>
        <v>0</v>
      </c>
      <c r="G26" s="155">
        <f>CEIResumida!H99</f>
        <v>0</v>
      </c>
      <c r="H26" s="157">
        <f>CEIResumida!I99</f>
        <v>0</v>
      </c>
      <c r="I26" s="155">
        <f>CEIResumida!J99</f>
        <v>0</v>
      </c>
      <c r="J26" s="157">
        <f>CEIResumida!K99</f>
        <v>-33878</v>
      </c>
      <c r="K26" s="156">
        <f>CEIResumida!L99</f>
        <v>0</v>
      </c>
      <c r="L26" s="157">
        <f>CEIResumida!M99</f>
        <v>0</v>
      </c>
      <c r="M26" s="158">
        <f t="shared" si="1"/>
        <v>33878</v>
      </c>
      <c r="N26" s="274" t="s">
        <v>569</v>
      </c>
      <c r="O26" s="158">
        <f>Z39</f>
        <v>8815606</v>
      </c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</row>
    <row r="27" spans="1:39" ht="16.5">
      <c r="A27" s="367"/>
      <c r="B27" s="135" t="s">
        <v>410</v>
      </c>
      <c r="C27" s="241">
        <f>CEIResumida!D100</f>
        <v>0</v>
      </c>
      <c r="D27" s="239">
        <f>CEIResumida!E100</f>
        <v>0</v>
      </c>
      <c r="E27" s="166">
        <f>CEIResumida!F100</f>
        <v>0</v>
      </c>
      <c r="F27" s="168">
        <f>CEIResumida!G100</f>
        <v>0</v>
      </c>
      <c r="G27" s="166">
        <f>CEIResumida!H100</f>
        <v>0</v>
      </c>
      <c r="H27" s="168">
        <f>CEIResumida!I100</f>
        <v>0</v>
      </c>
      <c r="I27" s="166">
        <f>CEIResumida!J100</f>
        <v>0</v>
      </c>
      <c r="J27" s="168">
        <f>CEIResumida!K100</f>
        <v>0</v>
      </c>
      <c r="K27" s="156">
        <f>CEIResumida!L100</f>
        <v>0</v>
      </c>
      <c r="L27" s="157">
        <f>CEIResumida!M100</f>
        <v>0</v>
      </c>
      <c r="M27" s="158">
        <f t="shared" si="1"/>
        <v>0</v>
      </c>
      <c r="N27" s="274" t="s">
        <v>567</v>
      </c>
      <c r="O27" s="273">
        <f>Original!AE51</f>
        <v>8815606</v>
      </c>
      <c r="R27" s="248">
        <f t="shared" ref="R27:S38" si="7">R8</f>
        <v>241683</v>
      </c>
      <c r="S27" s="248">
        <f t="shared" si="7"/>
        <v>230</v>
      </c>
      <c r="T27" s="192"/>
      <c r="U27" s="281">
        <f>U8</f>
        <v>212694</v>
      </c>
      <c r="V27" s="248">
        <v>22310</v>
      </c>
      <c r="W27" s="248">
        <v>-2694</v>
      </c>
      <c r="X27" s="248">
        <f>R27+S27+V27+W27</f>
        <v>261529</v>
      </c>
      <c r="Y27" s="248">
        <f>Z27-X27</f>
        <v>212694</v>
      </c>
      <c r="Z27" s="248">
        <f t="shared" ref="Z27:Z38" si="8">SUM(R27:W27)</f>
        <v>474223</v>
      </c>
      <c r="AA27" s="248">
        <f>Z27+AB27</f>
        <v>938989</v>
      </c>
      <c r="AB27" s="248">
        <f>SimulTRU!CK39</f>
        <v>464765.99999999994</v>
      </c>
      <c r="AC27" s="139"/>
      <c r="AD27" s="231">
        <f>IFERROR(R27/R47-1,0)</f>
        <v>0</v>
      </c>
      <c r="AE27" s="231">
        <f t="shared" ref="AE27:AM39" si="9">IFERROR(S27/S47-1,0)</f>
        <v>0</v>
      </c>
      <c r="AF27" s="231">
        <f t="shared" si="9"/>
        <v>0</v>
      </c>
      <c r="AG27" s="231">
        <f t="shared" si="9"/>
        <v>-1.1102230246251565E-16</v>
      </c>
      <c r="AH27" s="231">
        <f t="shared" si="9"/>
        <v>0</v>
      </c>
      <c r="AI27" s="231">
        <f t="shared" si="9"/>
        <v>0</v>
      </c>
      <c r="AJ27" s="231">
        <f t="shared" si="9"/>
        <v>0</v>
      </c>
      <c r="AK27" s="231">
        <f t="shared" si="9"/>
        <v>0</v>
      </c>
      <c r="AL27" s="231">
        <f t="shared" si="9"/>
        <v>0</v>
      </c>
      <c r="AM27" s="231">
        <f t="shared" si="9"/>
        <v>0</v>
      </c>
    </row>
    <row r="28" spans="1:39" ht="16.5">
      <c r="B28" s="137" t="s">
        <v>189</v>
      </c>
      <c r="C28" s="364">
        <f>SUM(C7:C27)-SUM(D7:D27)</f>
        <v>562272</v>
      </c>
      <c r="D28" s="360"/>
      <c r="E28" s="364">
        <f>SUM(E7:E27)-SUM(F7:F27)</f>
        <v>-918009</v>
      </c>
      <c r="F28" s="360"/>
      <c r="G28" s="364">
        <f>SUM(G7:G27)-SUM(H7:H27)</f>
        <v>149429</v>
      </c>
      <c r="H28" s="360"/>
      <c r="I28" s="364">
        <f>SUM(I7:I27)-SUM(J7:J27)</f>
        <v>125770</v>
      </c>
      <c r="J28" s="360"/>
      <c r="K28" s="364">
        <f>-SUM(C28:J28)</f>
        <v>80538</v>
      </c>
      <c r="L28" s="360"/>
      <c r="M28" s="158">
        <f>C28+E28+G28+I28+K28-L28-J28-H28-F28-D28</f>
        <v>0</v>
      </c>
      <c r="R28" s="248">
        <f t="shared" si="7"/>
        <v>253114</v>
      </c>
      <c r="S28" s="248">
        <f t="shared" si="7"/>
        <v>0</v>
      </c>
      <c r="T28" s="192"/>
      <c r="U28" s="281">
        <f t="shared" ref="U28:U38" si="10">U9</f>
        <v>0</v>
      </c>
      <c r="V28" s="248">
        <v>10455</v>
      </c>
      <c r="W28" s="248">
        <v>-27501</v>
      </c>
      <c r="X28" s="248">
        <f t="shared" ref="X28:X38" si="11">R28+S28+V28+W28</f>
        <v>236068</v>
      </c>
      <c r="Y28" s="248">
        <f t="shared" ref="Y28:Y38" si="12">Z28-X28</f>
        <v>0</v>
      </c>
      <c r="Z28" s="248">
        <f t="shared" si="8"/>
        <v>236068</v>
      </c>
      <c r="AA28" s="248">
        <f t="shared" ref="AA28:AA38" si="13">Z28+AB28</f>
        <v>474641</v>
      </c>
      <c r="AB28" s="248">
        <f>SimulTRU!CK40</f>
        <v>238572.99999999997</v>
      </c>
      <c r="AC28" s="139"/>
      <c r="AD28" s="231">
        <f t="shared" ref="AD28:AD39" si="14">IFERROR(R28/R48-1,0)</f>
        <v>0</v>
      </c>
      <c r="AE28" s="231">
        <f t="shared" si="9"/>
        <v>0</v>
      </c>
      <c r="AF28" s="231">
        <f t="shared" si="9"/>
        <v>0</v>
      </c>
      <c r="AG28" s="231">
        <f t="shared" si="9"/>
        <v>0</v>
      </c>
      <c r="AH28" s="231">
        <f t="shared" si="9"/>
        <v>0</v>
      </c>
      <c r="AI28" s="231">
        <f t="shared" si="9"/>
        <v>0</v>
      </c>
      <c r="AJ28" s="231">
        <f t="shared" si="9"/>
        <v>0</v>
      </c>
      <c r="AK28" s="231">
        <f t="shared" si="9"/>
        <v>0</v>
      </c>
      <c r="AL28" s="231">
        <f t="shared" si="9"/>
        <v>0</v>
      </c>
      <c r="AM28" s="231">
        <f t="shared" si="9"/>
        <v>2.2204460492503131E-16</v>
      </c>
    </row>
    <row r="29" spans="1:39">
      <c r="B29" s="46" t="s">
        <v>415</v>
      </c>
      <c r="C29" s="364">
        <v>562272</v>
      </c>
      <c r="D29" s="360"/>
      <c r="E29" s="364">
        <v>-918009</v>
      </c>
      <c r="F29" s="360"/>
      <c r="G29" s="364">
        <v>149429</v>
      </c>
      <c r="H29" s="360"/>
      <c r="I29" s="364">
        <v>125770</v>
      </c>
      <c r="J29" s="360"/>
      <c r="K29" s="365">
        <v>80538</v>
      </c>
      <c r="L29" s="366"/>
      <c r="M29" s="158">
        <f t="shared" si="1"/>
        <v>0</v>
      </c>
      <c r="R29" s="248">
        <f t="shared" si="7"/>
        <v>611468</v>
      </c>
      <c r="S29" s="248">
        <f t="shared" si="7"/>
        <v>9716</v>
      </c>
      <c r="T29" s="192"/>
      <c r="U29" s="281">
        <f t="shared" si="10"/>
        <v>2148704.9999999995</v>
      </c>
      <c r="V29" s="248">
        <v>523356</v>
      </c>
      <c r="W29" s="248">
        <v>-2168</v>
      </c>
      <c r="X29" s="248">
        <f t="shared" si="11"/>
        <v>1142372</v>
      </c>
      <c r="Y29" s="248">
        <f t="shared" si="12"/>
        <v>2148704.9999999995</v>
      </c>
      <c r="Z29" s="248">
        <f t="shared" si="8"/>
        <v>3291076.9999999995</v>
      </c>
      <c r="AA29" s="248">
        <f t="shared" si="13"/>
        <v>6468662</v>
      </c>
      <c r="AB29" s="248">
        <f>SimulTRU!CK41</f>
        <v>3177585</v>
      </c>
      <c r="AC29" s="139"/>
      <c r="AD29" s="231">
        <f t="shared" si="14"/>
        <v>0</v>
      </c>
      <c r="AE29" s="231">
        <f t="shared" si="9"/>
        <v>0</v>
      </c>
      <c r="AF29" s="231">
        <f t="shared" si="9"/>
        <v>0</v>
      </c>
      <c r="AG29" s="231">
        <f t="shared" si="9"/>
        <v>-2.2204460492503131E-16</v>
      </c>
      <c r="AH29" s="231">
        <f t="shared" si="9"/>
        <v>0</v>
      </c>
      <c r="AI29" s="231">
        <f t="shared" si="9"/>
        <v>0</v>
      </c>
      <c r="AJ29" s="231">
        <f t="shared" si="9"/>
        <v>0</v>
      </c>
      <c r="AK29" s="231">
        <f t="shared" si="9"/>
        <v>-2.2204460492503131E-16</v>
      </c>
      <c r="AL29" s="231">
        <f t="shared" si="9"/>
        <v>-1.1102230246251565E-16</v>
      </c>
      <c r="AM29" s="231">
        <f t="shared" si="9"/>
        <v>2.2204460492503131E-16</v>
      </c>
    </row>
    <row r="30" spans="1:39">
      <c r="R30" s="248">
        <f t="shared" si="7"/>
        <v>2</v>
      </c>
      <c r="S30" s="248">
        <f t="shared" si="7"/>
        <v>0</v>
      </c>
      <c r="T30" s="192"/>
      <c r="U30" s="281">
        <f t="shared" si="10"/>
        <v>186575.99999999991</v>
      </c>
      <c r="V30" s="248">
        <v>0</v>
      </c>
      <c r="W30" s="248">
        <v>-60</v>
      </c>
      <c r="X30" s="248">
        <f t="shared" si="11"/>
        <v>-58</v>
      </c>
      <c r="Y30" s="248">
        <f t="shared" si="12"/>
        <v>186575.99999999991</v>
      </c>
      <c r="Z30" s="248">
        <f t="shared" si="8"/>
        <v>186517.99999999991</v>
      </c>
      <c r="AA30" s="248">
        <f t="shared" si="13"/>
        <v>532995.99999999988</v>
      </c>
      <c r="AB30" s="248">
        <f>SimulTRU!CK42</f>
        <v>346477.99999999994</v>
      </c>
      <c r="AC30" s="139"/>
      <c r="AD30" s="231">
        <f t="shared" si="14"/>
        <v>0</v>
      </c>
      <c r="AE30" s="231">
        <f t="shared" si="9"/>
        <v>0</v>
      </c>
      <c r="AF30" s="231">
        <f t="shared" si="9"/>
        <v>0</v>
      </c>
      <c r="AG30" s="231">
        <f t="shared" si="9"/>
        <v>-4.4408920985006262E-16</v>
      </c>
      <c r="AH30" s="231">
        <f t="shared" si="9"/>
        <v>0</v>
      </c>
      <c r="AI30" s="231">
        <f t="shared" si="9"/>
        <v>0</v>
      </c>
      <c r="AJ30" s="231">
        <f t="shared" si="9"/>
        <v>0</v>
      </c>
      <c r="AK30" s="231">
        <f t="shared" si="9"/>
        <v>-4.4408920985006262E-16</v>
      </c>
      <c r="AL30" s="231">
        <f t="shared" si="9"/>
        <v>-4.4408920985006262E-16</v>
      </c>
      <c r="AM30" s="231">
        <f t="shared" si="9"/>
        <v>2.2204460492503131E-16</v>
      </c>
    </row>
    <row r="31" spans="1:39">
      <c r="D31" s="255">
        <f>C28/C29-1</f>
        <v>0</v>
      </c>
      <c r="F31" s="255">
        <f>E28/E29-1</f>
        <v>0</v>
      </c>
      <c r="H31" s="255">
        <f>G28/G29-1</f>
        <v>0</v>
      </c>
      <c r="J31" s="255">
        <f>I28/I29-1</f>
        <v>0</v>
      </c>
      <c r="L31" s="255">
        <f>K28/K29-1</f>
        <v>0</v>
      </c>
      <c r="R31" s="248">
        <f t="shared" si="7"/>
        <v>3481</v>
      </c>
      <c r="S31" s="248">
        <f t="shared" si="7"/>
        <v>0</v>
      </c>
      <c r="T31" s="192"/>
      <c r="U31" s="281">
        <f t="shared" si="10"/>
        <v>0</v>
      </c>
      <c r="V31" s="248">
        <v>556609</v>
      </c>
      <c r="W31" s="248">
        <v>0</v>
      </c>
      <c r="X31" s="248">
        <f t="shared" si="11"/>
        <v>560090</v>
      </c>
      <c r="Y31" s="248">
        <f t="shared" si="12"/>
        <v>0</v>
      </c>
      <c r="Z31" s="248">
        <f t="shared" si="8"/>
        <v>560090</v>
      </c>
      <c r="AA31" s="248">
        <f t="shared" si="13"/>
        <v>683264</v>
      </c>
      <c r="AB31" s="248">
        <f>SimulTRU!CK43</f>
        <v>123174.00000000003</v>
      </c>
      <c r="AC31" s="139"/>
      <c r="AD31" s="231">
        <f t="shared" si="14"/>
        <v>0</v>
      </c>
      <c r="AE31" s="231">
        <f t="shared" si="9"/>
        <v>0</v>
      </c>
      <c r="AF31" s="231">
        <f t="shared" si="9"/>
        <v>0</v>
      </c>
      <c r="AG31" s="231">
        <f t="shared" si="9"/>
        <v>0</v>
      </c>
      <c r="AH31" s="231">
        <f t="shared" si="9"/>
        <v>0</v>
      </c>
      <c r="AI31" s="231">
        <f t="shared" si="9"/>
        <v>0</v>
      </c>
      <c r="AJ31" s="231">
        <f t="shared" si="9"/>
        <v>0</v>
      </c>
      <c r="AK31" s="231">
        <f t="shared" si="9"/>
        <v>0</v>
      </c>
      <c r="AL31" s="231">
        <f t="shared" si="9"/>
        <v>0</v>
      </c>
      <c r="AM31" s="231">
        <f t="shared" si="9"/>
        <v>-5.5511151231257827E-16</v>
      </c>
    </row>
    <row r="32" spans="1:39">
      <c r="R32" s="248">
        <f t="shared" si="7"/>
        <v>4676</v>
      </c>
      <c r="S32" s="248">
        <f t="shared" si="7"/>
        <v>0</v>
      </c>
      <c r="T32" s="192"/>
      <c r="U32" s="281">
        <f t="shared" si="10"/>
        <v>55911.999999999971</v>
      </c>
      <c r="V32" s="248">
        <v>0</v>
      </c>
      <c r="W32" s="248">
        <v>0</v>
      </c>
      <c r="X32" s="248">
        <f t="shared" si="11"/>
        <v>4676</v>
      </c>
      <c r="Y32" s="248">
        <f t="shared" si="12"/>
        <v>55911.999999999971</v>
      </c>
      <c r="Z32" s="248">
        <f t="shared" si="8"/>
        <v>60587.999999999971</v>
      </c>
      <c r="AA32" s="248">
        <f t="shared" si="13"/>
        <v>140736.99999999994</v>
      </c>
      <c r="AB32" s="248">
        <f>SimulTRU!CK44</f>
        <v>80148.999999999985</v>
      </c>
      <c r="AC32" s="139"/>
      <c r="AD32" s="231">
        <f t="shared" si="14"/>
        <v>0</v>
      </c>
      <c r="AE32" s="231">
        <f t="shared" si="9"/>
        <v>0</v>
      </c>
      <c r="AF32" s="231">
        <f t="shared" si="9"/>
        <v>0</v>
      </c>
      <c r="AG32" s="231">
        <f t="shared" si="9"/>
        <v>-5.5511151231257827E-16</v>
      </c>
      <c r="AH32" s="231">
        <f t="shared" si="9"/>
        <v>0</v>
      </c>
      <c r="AI32" s="231">
        <f t="shared" si="9"/>
        <v>0</v>
      </c>
      <c r="AJ32" s="231">
        <f t="shared" si="9"/>
        <v>0</v>
      </c>
      <c r="AK32" s="231">
        <f t="shared" si="9"/>
        <v>-5.5511151231257827E-16</v>
      </c>
      <c r="AL32" s="231">
        <f t="shared" si="9"/>
        <v>-4.4408920985006262E-16</v>
      </c>
      <c r="AM32" s="231">
        <f t="shared" si="9"/>
        <v>0</v>
      </c>
    </row>
    <row r="33" spans="1:39">
      <c r="R33" s="248">
        <f t="shared" si="7"/>
        <v>34419</v>
      </c>
      <c r="S33" s="248">
        <f t="shared" si="7"/>
        <v>0</v>
      </c>
      <c r="T33" s="192"/>
      <c r="U33" s="281">
        <f t="shared" si="10"/>
        <v>109782.99999999996</v>
      </c>
      <c r="V33" s="248">
        <v>0</v>
      </c>
      <c r="W33" s="248">
        <v>0</v>
      </c>
      <c r="X33" s="248">
        <f t="shared" si="11"/>
        <v>34419</v>
      </c>
      <c r="Y33" s="248">
        <f t="shared" si="12"/>
        <v>109782.99999999994</v>
      </c>
      <c r="Z33" s="248">
        <f t="shared" si="8"/>
        <v>144201.99999999994</v>
      </c>
      <c r="AA33" s="248">
        <f t="shared" si="13"/>
        <v>568287.99999999977</v>
      </c>
      <c r="AB33" s="248">
        <f>SimulTRU!CK45</f>
        <v>424085.99999999988</v>
      </c>
      <c r="AC33" s="139"/>
      <c r="AD33" s="231">
        <f t="shared" si="14"/>
        <v>0</v>
      </c>
      <c r="AE33" s="231">
        <f t="shared" si="9"/>
        <v>0</v>
      </c>
      <c r="AF33" s="231">
        <f t="shared" si="9"/>
        <v>0</v>
      </c>
      <c r="AG33" s="231">
        <f t="shared" si="9"/>
        <v>-4.4408920985006262E-16</v>
      </c>
      <c r="AH33" s="231">
        <f t="shared" si="9"/>
        <v>0</v>
      </c>
      <c r="AI33" s="231">
        <f t="shared" si="9"/>
        <v>0</v>
      </c>
      <c r="AJ33" s="231">
        <f t="shared" si="9"/>
        <v>0</v>
      </c>
      <c r="AK33" s="231">
        <f t="shared" si="9"/>
        <v>-5.5511151231257827E-16</v>
      </c>
      <c r="AL33" s="231">
        <f t="shared" si="9"/>
        <v>-4.4408920985006262E-16</v>
      </c>
      <c r="AM33" s="231">
        <f t="shared" si="9"/>
        <v>0</v>
      </c>
    </row>
    <row r="34" spans="1:39">
      <c r="C34" s="313" t="s">
        <v>2</v>
      </c>
      <c r="D34" s="314"/>
      <c r="E34" s="313" t="s">
        <v>293</v>
      </c>
      <c r="F34" s="314"/>
      <c r="G34" s="313" t="s">
        <v>266</v>
      </c>
      <c r="H34" s="314"/>
      <c r="I34" s="313" t="s">
        <v>265</v>
      </c>
      <c r="J34" s="314"/>
      <c r="K34" s="313" t="s">
        <v>412</v>
      </c>
      <c r="L34" s="314"/>
      <c r="R34" s="248">
        <f t="shared" si="7"/>
        <v>15282</v>
      </c>
      <c r="S34" s="248">
        <f t="shared" si="7"/>
        <v>0</v>
      </c>
      <c r="T34" s="192"/>
      <c r="U34" s="281">
        <f t="shared" si="10"/>
        <v>152609.99999999994</v>
      </c>
      <c r="V34" s="248">
        <v>100913</v>
      </c>
      <c r="W34" s="248">
        <v>-1455</v>
      </c>
      <c r="X34" s="248">
        <f t="shared" si="11"/>
        <v>114740</v>
      </c>
      <c r="Y34" s="248">
        <f t="shared" si="12"/>
        <v>152609.99999999994</v>
      </c>
      <c r="Z34" s="248">
        <f t="shared" si="8"/>
        <v>267349.99999999994</v>
      </c>
      <c r="AA34" s="248">
        <f t="shared" si="13"/>
        <v>535541</v>
      </c>
      <c r="AB34" s="248">
        <f>SimulTRU!CK46</f>
        <v>268191</v>
      </c>
      <c r="AC34" s="139"/>
      <c r="AD34" s="231">
        <f t="shared" si="14"/>
        <v>0</v>
      </c>
      <c r="AE34" s="231">
        <f t="shared" si="9"/>
        <v>0</v>
      </c>
      <c r="AF34" s="231">
        <f t="shared" si="9"/>
        <v>0</v>
      </c>
      <c r="AG34" s="231">
        <f t="shared" si="9"/>
        <v>-3.3306690738754696E-16</v>
      </c>
      <c r="AH34" s="231">
        <f t="shared" si="9"/>
        <v>0</v>
      </c>
      <c r="AI34" s="231">
        <f t="shared" si="9"/>
        <v>0</v>
      </c>
      <c r="AJ34" s="231">
        <f t="shared" si="9"/>
        <v>0</v>
      </c>
      <c r="AK34" s="231">
        <f t="shared" si="9"/>
        <v>-3.3306690738754696E-16</v>
      </c>
      <c r="AL34" s="231">
        <f t="shared" si="9"/>
        <v>-2.2204460492503131E-16</v>
      </c>
      <c r="AM34" s="231">
        <f t="shared" si="9"/>
        <v>2.2204460492503131E-16</v>
      </c>
    </row>
    <row r="35" spans="1:39">
      <c r="C35" s="315"/>
      <c r="D35" s="316"/>
      <c r="E35" s="315"/>
      <c r="F35" s="316"/>
      <c r="G35" s="315"/>
      <c r="H35" s="316"/>
      <c r="I35" s="315"/>
      <c r="J35" s="316"/>
      <c r="K35" s="315"/>
      <c r="L35" s="316"/>
      <c r="R35" s="248">
        <f t="shared" si="7"/>
        <v>6943</v>
      </c>
      <c r="S35" s="248">
        <f t="shared" si="7"/>
        <v>2165</v>
      </c>
      <c r="T35" s="192"/>
      <c r="U35" s="281">
        <f t="shared" si="10"/>
        <v>379658.99999999988</v>
      </c>
      <c r="V35" s="248">
        <v>0</v>
      </c>
      <c r="W35" s="248">
        <v>0</v>
      </c>
      <c r="X35" s="248">
        <f t="shared" si="11"/>
        <v>9108</v>
      </c>
      <c r="Y35" s="248">
        <f t="shared" si="12"/>
        <v>379658.99999999988</v>
      </c>
      <c r="Z35" s="248">
        <f t="shared" si="8"/>
        <v>388766.99999999988</v>
      </c>
      <c r="AA35" s="248">
        <f t="shared" si="13"/>
        <v>800075.99999999977</v>
      </c>
      <c r="AB35" s="248">
        <f>SimulTRU!CK47</f>
        <v>411308.99999999994</v>
      </c>
      <c r="AC35" s="139"/>
      <c r="AD35" s="231">
        <f t="shared" si="14"/>
        <v>0</v>
      </c>
      <c r="AE35" s="231">
        <f t="shared" si="9"/>
        <v>0</v>
      </c>
      <c r="AF35" s="231">
        <f t="shared" si="9"/>
        <v>0</v>
      </c>
      <c r="AG35" s="231">
        <f t="shared" si="9"/>
        <v>-3.3306690738754696E-16</v>
      </c>
      <c r="AH35" s="231">
        <f t="shared" si="9"/>
        <v>0</v>
      </c>
      <c r="AI35" s="231">
        <f t="shared" si="9"/>
        <v>0</v>
      </c>
      <c r="AJ35" s="231">
        <f t="shared" si="9"/>
        <v>0</v>
      </c>
      <c r="AK35" s="231">
        <f t="shared" si="9"/>
        <v>-3.3306690738754696E-16</v>
      </c>
      <c r="AL35" s="231">
        <f t="shared" si="9"/>
        <v>-3.3306690738754696E-16</v>
      </c>
      <c r="AM35" s="231">
        <f t="shared" si="9"/>
        <v>0</v>
      </c>
    </row>
    <row r="36" spans="1:39">
      <c r="C36" s="315"/>
      <c r="D36" s="316"/>
      <c r="E36" s="315"/>
      <c r="F36" s="316"/>
      <c r="G36" s="315"/>
      <c r="H36" s="316"/>
      <c r="I36" s="315"/>
      <c r="J36" s="316"/>
      <c r="K36" s="315"/>
      <c r="L36" s="316"/>
      <c r="R36" s="248">
        <f t="shared" si="7"/>
        <v>4688</v>
      </c>
      <c r="S36" s="248">
        <f t="shared" si="7"/>
        <v>0</v>
      </c>
      <c r="T36" s="192"/>
      <c r="U36" s="281">
        <f t="shared" si="10"/>
        <v>643203.00000000012</v>
      </c>
      <c r="V36" s="248">
        <v>0</v>
      </c>
      <c r="W36" s="248">
        <v>0</v>
      </c>
      <c r="X36" s="248">
        <f t="shared" si="11"/>
        <v>4688</v>
      </c>
      <c r="Y36" s="248">
        <f t="shared" si="12"/>
        <v>643203.00000000012</v>
      </c>
      <c r="Z36" s="248">
        <f t="shared" si="8"/>
        <v>647891.00000000012</v>
      </c>
      <c r="AA36" s="248">
        <f t="shared" si="13"/>
        <v>793035.00000000012</v>
      </c>
      <c r="AB36" s="248">
        <f>SimulTRU!CK48</f>
        <v>145143.99999999997</v>
      </c>
      <c r="AC36" s="139"/>
      <c r="AD36" s="231">
        <f t="shared" si="14"/>
        <v>0</v>
      </c>
      <c r="AE36" s="231">
        <f t="shared" si="9"/>
        <v>0</v>
      </c>
      <c r="AF36" s="231">
        <f t="shared" si="9"/>
        <v>0</v>
      </c>
      <c r="AG36" s="231">
        <f t="shared" si="9"/>
        <v>2.2204460492503131E-16</v>
      </c>
      <c r="AH36" s="231">
        <f t="shared" si="9"/>
        <v>0</v>
      </c>
      <c r="AI36" s="231">
        <f t="shared" si="9"/>
        <v>0</v>
      </c>
      <c r="AJ36" s="231">
        <f t="shared" si="9"/>
        <v>0</v>
      </c>
      <c r="AK36" s="231">
        <f t="shared" si="9"/>
        <v>2.2204460492503131E-16</v>
      </c>
      <c r="AL36" s="231">
        <f t="shared" si="9"/>
        <v>2.2204460492503131E-16</v>
      </c>
      <c r="AM36" s="231">
        <f t="shared" si="9"/>
        <v>0</v>
      </c>
    </row>
    <row r="37" spans="1:39">
      <c r="C37" s="315"/>
      <c r="D37" s="316"/>
      <c r="E37" s="315"/>
      <c r="F37" s="316"/>
      <c r="G37" s="315"/>
      <c r="H37" s="316"/>
      <c r="I37" s="315"/>
      <c r="J37" s="316"/>
      <c r="K37" s="315"/>
      <c r="L37" s="316"/>
      <c r="R37" s="248">
        <f t="shared" si="7"/>
        <v>76293</v>
      </c>
      <c r="S37" s="248">
        <f t="shared" si="7"/>
        <v>54812</v>
      </c>
      <c r="T37" s="192"/>
      <c r="U37" s="281">
        <f t="shared" si="10"/>
        <v>915862</v>
      </c>
      <c r="V37" s="248">
        <v>46584</v>
      </c>
      <c r="W37" s="248">
        <v>0</v>
      </c>
      <c r="X37" s="248">
        <f t="shared" si="11"/>
        <v>177689</v>
      </c>
      <c r="Y37" s="248">
        <f t="shared" si="12"/>
        <v>915862</v>
      </c>
      <c r="Z37" s="248">
        <f t="shared" si="8"/>
        <v>1093551</v>
      </c>
      <c r="AA37" s="248">
        <f t="shared" si="13"/>
        <v>2125358</v>
      </c>
      <c r="AB37" s="248">
        <f>SimulTRU!CK49</f>
        <v>1031806.9999999999</v>
      </c>
      <c r="AC37" s="139"/>
      <c r="AD37" s="231">
        <f t="shared" si="14"/>
        <v>0</v>
      </c>
      <c r="AE37" s="231">
        <f t="shared" si="9"/>
        <v>0</v>
      </c>
      <c r="AF37" s="231">
        <f t="shared" si="9"/>
        <v>0</v>
      </c>
      <c r="AG37" s="231">
        <f t="shared" si="9"/>
        <v>0</v>
      </c>
      <c r="AH37" s="231">
        <f t="shared" si="9"/>
        <v>0</v>
      </c>
      <c r="AI37" s="231">
        <f t="shared" si="9"/>
        <v>0</v>
      </c>
      <c r="AJ37" s="231">
        <f t="shared" si="9"/>
        <v>0</v>
      </c>
      <c r="AK37" s="231">
        <f t="shared" si="9"/>
        <v>0</v>
      </c>
      <c r="AL37" s="231">
        <f t="shared" si="9"/>
        <v>0</v>
      </c>
      <c r="AM37" s="231">
        <f t="shared" si="9"/>
        <v>0</v>
      </c>
    </row>
    <row r="38" spans="1:39" ht="25.5" thickBot="1">
      <c r="C38" s="242" t="s">
        <v>413</v>
      </c>
      <c r="D38" s="242" t="s">
        <v>414</v>
      </c>
      <c r="E38" s="242" t="s">
        <v>413</v>
      </c>
      <c r="F38" s="242" t="s">
        <v>414</v>
      </c>
      <c r="G38" s="242" t="s">
        <v>413</v>
      </c>
      <c r="H38" s="242" t="s">
        <v>414</v>
      </c>
      <c r="I38" s="242" t="s">
        <v>413</v>
      </c>
      <c r="J38" s="242" t="s">
        <v>414</v>
      </c>
      <c r="K38" s="242" t="s">
        <v>557</v>
      </c>
      <c r="L38" s="242" t="s">
        <v>558</v>
      </c>
      <c r="N38" s="136" t="s">
        <v>540</v>
      </c>
      <c r="O38" s="136" t="s">
        <v>541</v>
      </c>
      <c r="P38" s="136" t="s">
        <v>564</v>
      </c>
      <c r="R38" s="248">
        <f t="shared" si="7"/>
        <v>0</v>
      </c>
      <c r="S38" s="248">
        <f t="shared" si="7"/>
        <v>1465281</v>
      </c>
      <c r="T38" s="192"/>
      <c r="U38" s="281">
        <f t="shared" si="10"/>
        <v>0</v>
      </c>
      <c r="V38" s="248">
        <v>0</v>
      </c>
      <c r="W38" s="248">
        <v>0</v>
      </c>
      <c r="X38" s="248">
        <f t="shared" si="11"/>
        <v>1465281</v>
      </c>
      <c r="Y38" s="248">
        <f t="shared" si="12"/>
        <v>0</v>
      </c>
      <c r="Z38" s="248">
        <f t="shared" si="8"/>
        <v>1465281</v>
      </c>
      <c r="AA38" s="248">
        <f t="shared" si="13"/>
        <v>1465281</v>
      </c>
      <c r="AB38" s="248">
        <f>SimulTRU!CK50</f>
        <v>0</v>
      </c>
      <c r="AC38" s="139"/>
      <c r="AD38" s="231">
        <f t="shared" si="14"/>
        <v>0</v>
      </c>
      <c r="AE38" s="231">
        <f t="shared" si="9"/>
        <v>0</v>
      </c>
      <c r="AF38" s="231">
        <f t="shared" si="9"/>
        <v>0</v>
      </c>
      <c r="AG38" s="231">
        <f t="shared" si="9"/>
        <v>0</v>
      </c>
      <c r="AH38" s="231">
        <f t="shared" si="9"/>
        <v>0</v>
      </c>
      <c r="AI38" s="231">
        <f t="shared" si="9"/>
        <v>0</v>
      </c>
      <c r="AJ38" s="231">
        <f t="shared" si="9"/>
        <v>0</v>
      </c>
      <c r="AK38" s="231">
        <f t="shared" si="9"/>
        <v>0</v>
      </c>
      <c r="AL38" s="231">
        <f t="shared" si="9"/>
        <v>0</v>
      </c>
      <c r="AM38" s="231">
        <f t="shared" si="9"/>
        <v>0</v>
      </c>
    </row>
    <row r="39" spans="1:39" ht="17.25" thickTop="1">
      <c r="B39" s="131" t="s">
        <v>98</v>
      </c>
      <c r="C39" s="258">
        <f>IFERROR(C7/C71-1,0)</f>
        <v>0</v>
      </c>
      <c r="D39" s="259">
        <f t="shared" ref="D39:O39" si="15">IFERROR(D7/D71-1,0)</f>
        <v>0</v>
      </c>
      <c r="E39" s="260">
        <f t="shared" si="15"/>
        <v>0</v>
      </c>
      <c r="F39" s="261">
        <f t="shared" si="15"/>
        <v>0</v>
      </c>
      <c r="G39" s="260">
        <f t="shared" si="15"/>
        <v>0</v>
      </c>
      <c r="H39" s="261">
        <f t="shared" si="15"/>
        <v>0</v>
      </c>
      <c r="I39" s="260">
        <f t="shared" si="15"/>
        <v>0</v>
      </c>
      <c r="J39" s="261">
        <f t="shared" si="15"/>
        <v>0</v>
      </c>
      <c r="K39" s="260">
        <f t="shared" si="15"/>
        <v>0</v>
      </c>
      <c r="L39" s="261">
        <f t="shared" si="15"/>
        <v>0</v>
      </c>
      <c r="M39" s="251">
        <f>IFERROR(M7/M71-1,0)</f>
        <v>0</v>
      </c>
      <c r="N39" s="283">
        <f t="shared" si="15"/>
        <v>0</v>
      </c>
      <c r="O39" s="283">
        <f t="shared" si="15"/>
        <v>0</v>
      </c>
      <c r="P39" s="283">
        <f>P7-P71</f>
        <v>0</v>
      </c>
      <c r="R39" s="252">
        <f>SUM(R27:R38)</f>
        <v>1252049</v>
      </c>
      <c r="S39" s="252">
        <f>SUM(S27:S38)</f>
        <v>1532204</v>
      </c>
      <c r="T39" s="253"/>
      <c r="U39" s="252">
        <f t="shared" ref="U39:AA39" si="16">SUM(U27:U38)</f>
        <v>4805004</v>
      </c>
      <c r="V39" s="252">
        <f t="shared" si="16"/>
        <v>1260227</v>
      </c>
      <c r="W39" s="252">
        <f t="shared" si="16"/>
        <v>-33878</v>
      </c>
      <c r="X39" s="252">
        <f t="shared" si="16"/>
        <v>4010602</v>
      </c>
      <c r="Y39" s="252">
        <f t="shared" si="16"/>
        <v>4805004</v>
      </c>
      <c r="Z39" s="252">
        <f t="shared" si="16"/>
        <v>8815606</v>
      </c>
      <c r="AA39" s="252">
        <f t="shared" si="16"/>
        <v>15526868</v>
      </c>
      <c r="AB39" s="276"/>
      <c r="AC39" s="158"/>
      <c r="AD39" s="257">
        <f t="shared" si="14"/>
        <v>0</v>
      </c>
      <c r="AE39" s="257">
        <f t="shared" si="9"/>
        <v>0</v>
      </c>
      <c r="AF39" s="257">
        <f t="shared" si="9"/>
        <v>0</v>
      </c>
      <c r="AG39" s="257">
        <f t="shared" si="9"/>
        <v>0</v>
      </c>
      <c r="AH39" s="257">
        <f t="shared" si="9"/>
        <v>0</v>
      </c>
      <c r="AI39" s="257">
        <f t="shared" si="9"/>
        <v>0</v>
      </c>
      <c r="AJ39" s="257">
        <f t="shared" si="9"/>
        <v>0</v>
      </c>
      <c r="AK39" s="257">
        <f t="shared" si="9"/>
        <v>0</v>
      </c>
      <c r="AL39" s="257">
        <f t="shared" si="9"/>
        <v>0</v>
      </c>
      <c r="AM39" s="257">
        <f t="shared" si="9"/>
        <v>2.2204460492503131E-16</v>
      </c>
    </row>
    <row r="40" spans="1:39">
      <c r="A40" s="367" t="s">
        <v>555</v>
      </c>
      <c r="B40" s="132" t="s">
        <v>389</v>
      </c>
      <c r="C40" s="263">
        <f t="shared" ref="C40:L40" si="17">IFERROR(C8/C72-1,0)</f>
        <v>0</v>
      </c>
      <c r="D40" s="264">
        <f t="shared" si="17"/>
        <v>0</v>
      </c>
      <c r="E40" s="265">
        <f t="shared" si="17"/>
        <v>0</v>
      </c>
      <c r="F40" s="244">
        <f t="shared" si="17"/>
        <v>0</v>
      </c>
      <c r="G40" s="265">
        <f t="shared" si="17"/>
        <v>0</v>
      </c>
      <c r="H40" s="244">
        <f t="shared" si="17"/>
        <v>0</v>
      </c>
      <c r="I40" s="266">
        <f t="shared" si="17"/>
        <v>0</v>
      </c>
      <c r="J40" s="244">
        <f t="shared" si="17"/>
        <v>0</v>
      </c>
      <c r="K40" s="266">
        <f t="shared" si="17"/>
        <v>0</v>
      </c>
      <c r="L40" s="244">
        <f t="shared" si="17"/>
        <v>0</v>
      </c>
      <c r="M40" s="158">
        <v>2.9103830456733704E-11</v>
      </c>
    </row>
    <row r="41" spans="1:39" ht="9" thickBot="1">
      <c r="A41" s="367"/>
      <c r="B41" s="133" t="s">
        <v>28</v>
      </c>
      <c r="C41" s="250">
        <f t="shared" ref="C41:L41" si="18">IFERROR(C9/C73-1,0)</f>
        <v>0</v>
      </c>
      <c r="D41" s="246">
        <f t="shared" si="18"/>
        <v>0</v>
      </c>
      <c r="E41" s="267">
        <f t="shared" si="18"/>
        <v>0</v>
      </c>
      <c r="F41" s="245">
        <f t="shared" si="18"/>
        <v>0</v>
      </c>
      <c r="G41" s="267">
        <f t="shared" si="18"/>
        <v>0</v>
      </c>
      <c r="H41" s="245">
        <f t="shared" si="18"/>
        <v>0</v>
      </c>
      <c r="I41" s="251">
        <f t="shared" si="18"/>
        <v>0</v>
      </c>
      <c r="J41" s="245">
        <f t="shared" si="18"/>
        <v>0</v>
      </c>
      <c r="K41" s="251">
        <f t="shared" si="18"/>
        <v>0</v>
      </c>
      <c r="L41" s="245">
        <f t="shared" si="18"/>
        <v>0</v>
      </c>
      <c r="M41" s="158">
        <v>1.4551915228366852E-11</v>
      </c>
    </row>
    <row r="42" spans="1:39" ht="9" thickTop="1">
      <c r="A42" s="367"/>
      <c r="B42" s="133" t="s">
        <v>542</v>
      </c>
      <c r="C42" s="250">
        <f t="shared" ref="C42:L42" si="19">IFERROR(C10/C74-1,0)</f>
        <v>0</v>
      </c>
      <c r="D42" s="246">
        <f t="shared" si="19"/>
        <v>0</v>
      </c>
      <c r="E42" s="267">
        <f t="shared" si="19"/>
        <v>0</v>
      </c>
      <c r="F42" s="245">
        <f t="shared" si="19"/>
        <v>0</v>
      </c>
      <c r="G42" s="267">
        <f t="shared" si="19"/>
        <v>0</v>
      </c>
      <c r="H42" s="245">
        <f t="shared" si="19"/>
        <v>0</v>
      </c>
      <c r="I42" s="251">
        <f t="shared" si="19"/>
        <v>0</v>
      </c>
      <c r="J42" s="245">
        <f t="shared" si="19"/>
        <v>0</v>
      </c>
      <c r="K42" s="251">
        <f t="shared" si="19"/>
        <v>0</v>
      </c>
      <c r="L42" s="245">
        <f t="shared" si="19"/>
        <v>0</v>
      </c>
      <c r="M42" s="158">
        <v>0</v>
      </c>
      <c r="R42" s="424" t="s">
        <v>518</v>
      </c>
      <c r="S42" s="424" t="s">
        <v>519</v>
      </c>
      <c r="T42" s="421"/>
      <c r="U42" s="421" t="s">
        <v>521</v>
      </c>
      <c r="V42" s="421" t="s">
        <v>522</v>
      </c>
      <c r="W42" s="421" t="s">
        <v>523</v>
      </c>
      <c r="X42" s="421" t="s">
        <v>562</v>
      </c>
      <c r="Y42" s="421" t="s">
        <v>561</v>
      </c>
      <c r="Z42" s="421" t="s">
        <v>516</v>
      </c>
      <c r="AA42" s="421" t="s">
        <v>563</v>
      </c>
      <c r="AB42" s="275"/>
    </row>
    <row r="43" spans="1:39">
      <c r="A43" s="367"/>
      <c r="B43" s="134" t="s">
        <v>19</v>
      </c>
      <c r="C43" s="250">
        <f t="shared" ref="C43:L43" si="20">IFERROR(C11/C75-1,0)</f>
        <v>0</v>
      </c>
      <c r="D43" s="246">
        <f t="shared" si="20"/>
        <v>0</v>
      </c>
      <c r="E43" s="267">
        <f t="shared" si="20"/>
        <v>0</v>
      </c>
      <c r="F43" s="245">
        <f t="shared" si="20"/>
        <v>0</v>
      </c>
      <c r="G43" s="267">
        <f t="shared" si="20"/>
        <v>0</v>
      </c>
      <c r="H43" s="245">
        <f t="shared" si="20"/>
        <v>0</v>
      </c>
      <c r="I43" s="251">
        <f t="shared" si="20"/>
        <v>0</v>
      </c>
      <c r="J43" s="245">
        <f t="shared" si="20"/>
        <v>0</v>
      </c>
      <c r="K43" s="251">
        <f t="shared" si="20"/>
        <v>0</v>
      </c>
      <c r="L43" s="245">
        <f t="shared" si="20"/>
        <v>0</v>
      </c>
      <c r="M43" s="158">
        <v>1.4551915228366852E-11</v>
      </c>
      <c r="R43" s="425"/>
      <c r="S43" s="425"/>
      <c r="T43" s="422"/>
      <c r="U43" s="422"/>
      <c r="V43" s="427"/>
      <c r="W43" s="427"/>
      <c r="X43" s="422"/>
      <c r="Y43" s="422"/>
      <c r="Z43" s="422"/>
      <c r="AA43" s="422"/>
      <c r="AB43" s="275"/>
    </row>
    <row r="44" spans="1:39" ht="16.5">
      <c r="A44" s="367"/>
      <c r="B44" s="135" t="s">
        <v>34</v>
      </c>
      <c r="C44" s="268">
        <f t="shared" ref="C44:L44" si="21">IFERROR(C12/C76-1,0)</f>
        <v>0</v>
      </c>
      <c r="D44" s="269">
        <f t="shared" si="21"/>
        <v>0</v>
      </c>
      <c r="E44" s="270">
        <f t="shared" si="21"/>
        <v>0</v>
      </c>
      <c r="F44" s="271">
        <f t="shared" si="21"/>
        <v>0</v>
      </c>
      <c r="G44" s="270">
        <f t="shared" si="21"/>
        <v>0</v>
      </c>
      <c r="H44" s="271">
        <f t="shared" si="21"/>
        <v>0</v>
      </c>
      <c r="I44" s="272">
        <f t="shared" si="21"/>
        <v>0</v>
      </c>
      <c r="J44" s="271">
        <f t="shared" si="21"/>
        <v>0</v>
      </c>
      <c r="K44" s="272">
        <f t="shared" si="21"/>
        <v>0</v>
      </c>
      <c r="L44" s="271">
        <f t="shared" si="21"/>
        <v>0</v>
      </c>
      <c r="M44" s="158">
        <v>1.8189894035458565E-12</v>
      </c>
      <c r="R44" s="425"/>
      <c r="S44" s="425"/>
      <c r="T44" s="422"/>
      <c r="U44" s="422"/>
      <c r="V44" s="427"/>
      <c r="W44" s="427"/>
      <c r="X44" s="422"/>
      <c r="Y44" s="422"/>
      <c r="Z44" s="422"/>
      <c r="AA44" s="422"/>
      <c r="AB44" s="275"/>
    </row>
    <row r="45" spans="1:39" ht="9" thickBot="1">
      <c r="A45" s="367" t="s">
        <v>556</v>
      </c>
      <c r="B45" s="132" t="s">
        <v>40</v>
      </c>
      <c r="C45" s="263">
        <f t="shared" ref="C45:L45" si="22">IFERROR(C13/C77-1,0)</f>
        <v>0</v>
      </c>
      <c r="D45" s="264">
        <f t="shared" si="22"/>
        <v>0</v>
      </c>
      <c r="E45" s="265">
        <f t="shared" si="22"/>
        <v>0</v>
      </c>
      <c r="F45" s="244">
        <f t="shared" si="22"/>
        <v>0</v>
      </c>
      <c r="G45" s="265">
        <f t="shared" si="22"/>
        <v>0</v>
      </c>
      <c r="H45" s="244">
        <f t="shared" si="22"/>
        <v>0</v>
      </c>
      <c r="I45" s="265">
        <f t="shared" si="22"/>
        <v>0</v>
      </c>
      <c r="J45" s="244">
        <f t="shared" si="22"/>
        <v>0</v>
      </c>
      <c r="K45" s="266">
        <f t="shared" si="22"/>
        <v>0</v>
      </c>
      <c r="L45" s="244">
        <f t="shared" si="22"/>
        <v>0</v>
      </c>
      <c r="M45" s="158">
        <v>0</v>
      </c>
      <c r="R45" s="426"/>
      <c r="S45" s="426"/>
      <c r="T45" s="423"/>
      <c r="U45" s="423"/>
      <c r="V45" s="428"/>
      <c r="W45" s="428"/>
      <c r="X45" s="423"/>
      <c r="Y45" s="423"/>
      <c r="Z45" s="423"/>
      <c r="AA45" s="423"/>
      <c r="AB45" s="275"/>
    </row>
    <row r="46" spans="1:39" ht="9" thickTop="1">
      <c r="A46" s="367"/>
      <c r="B46" s="133" t="s">
        <v>408</v>
      </c>
      <c r="C46" s="250">
        <f t="shared" ref="C46:L46" si="23">IFERROR(C14/C78-1,0)</f>
        <v>0</v>
      </c>
      <c r="D46" s="246">
        <f t="shared" si="23"/>
        <v>0</v>
      </c>
      <c r="E46" s="267">
        <f t="shared" si="23"/>
        <v>0</v>
      </c>
      <c r="F46" s="245">
        <f t="shared" si="23"/>
        <v>0</v>
      </c>
      <c r="G46" s="267">
        <f t="shared" si="23"/>
        <v>0</v>
      </c>
      <c r="H46" s="245">
        <f t="shared" si="23"/>
        <v>0</v>
      </c>
      <c r="I46" s="267">
        <f t="shared" si="23"/>
        <v>0</v>
      </c>
      <c r="J46" s="245">
        <f t="shared" si="23"/>
        <v>0</v>
      </c>
      <c r="K46" s="251">
        <f t="shared" si="23"/>
        <v>-1.2212453270876722E-15</v>
      </c>
      <c r="L46" s="245">
        <f t="shared" si="23"/>
        <v>0</v>
      </c>
      <c r="M46" s="158">
        <v>0</v>
      </c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</row>
    <row r="47" spans="1:39">
      <c r="A47" s="367"/>
      <c r="B47" s="133" t="s">
        <v>392</v>
      </c>
      <c r="C47" s="250">
        <f t="shared" ref="C47:L47" si="24">IFERROR(C15/C79-1,0)</f>
        <v>0</v>
      </c>
      <c r="D47" s="246">
        <f t="shared" si="24"/>
        <v>0</v>
      </c>
      <c r="E47" s="267">
        <f t="shared" si="24"/>
        <v>0</v>
      </c>
      <c r="F47" s="245">
        <f t="shared" si="24"/>
        <v>0</v>
      </c>
      <c r="G47" s="267">
        <f t="shared" si="24"/>
        <v>0</v>
      </c>
      <c r="H47" s="245">
        <f t="shared" si="24"/>
        <v>0</v>
      </c>
      <c r="I47" s="267">
        <f t="shared" si="24"/>
        <v>0</v>
      </c>
      <c r="J47" s="245">
        <f t="shared" si="24"/>
        <v>0</v>
      </c>
      <c r="K47" s="251">
        <f t="shared" si="24"/>
        <v>0</v>
      </c>
      <c r="L47" s="245">
        <f t="shared" si="24"/>
        <v>0</v>
      </c>
      <c r="M47" s="158">
        <v>0</v>
      </c>
      <c r="R47" s="248">
        <v>241683</v>
      </c>
      <c r="S47" s="248">
        <v>230</v>
      </c>
      <c r="T47" s="192"/>
      <c r="U47" s="248">
        <v>212694.00000000003</v>
      </c>
      <c r="V47" s="248">
        <v>22310</v>
      </c>
      <c r="W47" s="248">
        <v>-2694</v>
      </c>
      <c r="X47" s="248">
        <v>261529</v>
      </c>
      <c r="Y47" s="248">
        <v>212694</v>
      </c>
      <c r="Z47" s="248">
        <v>474223</v>
      </c>
      <c r="AA47" s="248">
        <v>938989</v>
      </c>
      <c r="AB47" s="248"/>
    </row>
    <row r="48" spans="1:39">
      <c r="A48" s="367"/>
      <c r="B48" s="133" t="s">
        <v>401</v>
      </c>
      <c r="C48" s="250">
        <f t="shared" ref="C48:L48" si="25">IFERROR(C16/C80-1,0)</f>
        <v>0</v>
      </c>
      <c r="D48" s="246">
        <f t="shared" si="25"/>
        <v>0</v>
      </c>
      <c r="E48" s="267">
        <f t="shared" si="25"/>
        <v>0</v>
      </c>
      <c r="F48" s="245">
        <f t="shared" si="25"/>
        <v>0</v>
      </c>
      <c r="G48" s="267">
        <f t="shared" si="25"/>
        <v>0</v>
      </c>
      <c r="H48" s="245">
        <f t="shared" si="25"/>
        <v>0</v>
      </c>
      <c r="I48" s="267">
        <f t="shared" si="25"/>
        <v>0</v>
      </c>
      <c r="J48" s="245">
        <f t="shared" si="25"/>
        <v>0</v>
      </c>
      <c r="K48" s="251">
        <f t="shared" si="25"/>
        <v>0</v>
      </c>
      <c r="L48" s="245">
        <f t="shared" si="25"/>
        <v>0</v>
      </c>
      <c r="M48" s="158">
        <v>0</v>
      </c>
      <c r="R48" s="248">
        <v>253114</v>
      </c>
      <c r="S48" s="248">
        <v>0</v>
      </c>
      <c r="T48" s="192"/>
      <c r="U48" s="248">
        <v>0</v>
      </c>
      <c r="V48" s="248">
        <v>10455</v>
      </c>
      <c r="W48" s="248">
        <v>-27501</v>
      </c>
      <c r="X48" s="248">
        <v>236068</v>
      </c>
      <c r="Y48" s="248">
        <v>0</v>
      </c>
      <c r="Z48" s="248">
        <v>236068</v>
      </c>
      <c r="AA48" s="248">
        <v>474640.99999999994</v>
      </c>
      <c r="AB48" s="248"/>
    </row>
    <row r="49" spans="1:28">
      <c r="A49" s="367"/>
      <c r="B49" s="243" t="s">
        <v>288</v>
      </c>
      <c r="C49" s="268">
        <f t="shared" ref="C49:L49" si="26">IFERROR(C17/C81-1,0)</f>
        <v>0</v>
      </c>
      <c r="D49" s="269">
        <f t="shared" si="26"/>
        <v>0</v>
      </c>
      <c r="E49" s="270">
        <f t="shared" si="26"/>
        <v>0</v>
      </c>
      <c r="F49" s="271">
        <f t="shared" si="26"/>
        <v>0</v>
      </c>
      <c r="G49" s="270">
        <f t="shared" si="26"/>
        <v>0</v>
      </c>
      <c r="H49" s="271">
        <f t="shared" si="26"/>
        <v>0</v>
      </c>
      <c r="I49" s="270">
        <f t="shared" si="26"/>
        <v>0</v>
      </c>
      <c r="J49" s="271">
        <f t="shared" si="26"/>
        <v>0</v>
      </c>
      <c r="K49" s="272">
        <f t="shared" si="26"/>
        <v>0</v>
      </c>
      <c r="L49" s="271">
        <f t="shared" si="26"/>
        <v>0</v>
      </c>
      <c r="M49" s="158">
        <v>0</v>
      </c>
      <c r="R49" s="248">
        <v>611468</v>
      </c>
      <c r="S49" s="248">
        <v>9716</v>
      </c>
      <c r="T49" s="192"/>
      <c r="U49" s="248">
        <v>2148705</v>
      </c>
      <c r="V49" s="248">
        <v>523356</v>
      </c>
      <c r="W49" s="248">
        <v>-2168</v>
      </c>
      <c r="X49" s="248">
        <v>1142372</v>
      </c>
      <c r="Y49" s="248">
        <v>2148705</v>
      </c>
      <c r="Z49" s="248">
        <v>3291077</v>
      </c>
      <c r="AA49" s="248">
        <v>6468661.9999999991</v>
      </c>
      <c r="AB49" s="248"/>
    </row>
    <row r="50" spans="1:28" ht="16.5">
      <c r="A50" s="367" t="s">
        <v>553</v>
      </c>
      <c r="B50" s="159" t="s">
        <v>453</v>
      </c>
      <c r="C50" s="250">
        <f t="shared" ref="C50:L50" si="27">IFERROR(C18/C82-1,0)</f>
        <v>0</v>
      </c>
      <c r="D50" s="246">
        <f t="shared" si="27"/>
        <v>0</v>
      </c>
      <c r="E50" s="267">
        <f t="shared" si="27"/>
        <v>0</v>
      </c>
      <c r="F50" s="245">
        <f t="shared" si="27"/>
        <v>0</v>
      </c>
      <c r="G50" s="267">
        <f t="shared" si="27"/>
        <v>0</v>
      </c>
      <c r="H50" s="246">
        <f t="shared" si="27"/>
        <v>0</v>
      </c>
      <c r="I50" s="267">
        <f t="shared" si="27"/>
        <v>0</v>
      </c>
      <c r="J50" s="246">
        <f t="shared" si="27"/>
        <v>-1.1102230246251565E-16</v>
      </c>
      <c r="K50" s="251">
        <f t="shared" si="27"/>
        <v>0</v>
      </c>
      <c r="L50" s="245">
        <f t="shared" si="27"/>
        <v>0</v>
      </c>
      <c r="M50" s="158">
        <v>0</v>
      </c>
      <c r="R50" s="248">
        <v>2</v>
      </c>
      <c r="S50" s="248">
        <v>0</v>
      </c>
      <c r="T50" s="192"/>
      <c r="U50" s="248">
        <v>186576</v>
      </c>
      <c r="V50" s="248">
        <v>0</v>
      </c>
      <c r="W50" s="248">
        <v>-60</v>
      </c>
      <c r="X50" s="248">
        <v>-58</v>
      </c>
      <c r="Y50" s="248">
        <v>186576</v>
      </c>
      <c r="Z50" s="248">
        <v>186518</v>
      </c>
      <c r="AA50" s="248">
        <v>532995.99999999977</v>
      </c>
      <c r="AB50" s="248"/>
    </row>
    <row r="51" spans="1:28">
      <c r="A51" s="367"/>
      <c r="B51" s="134" t="s">
        <v>50</v>
      </c>
      <c r="C51" s="250">
        <f t="shared" ref="C51:L51" si="28">IFERROR(C19/C83-1,0)</f>
        <v>0</v>
      </c>
      <c r="D51" s="246">
        <f t="shared" si="28"/>
        <v>0</v>
      </c>
      <c r="E51" s="267">
        <f t="shared" si="28"/>
        <v>0</v>
      </c>
      <c r="F51" s="245">
        <f t="shared" si="28"/>
        <v>0</v>
      </c>
      <c r="G51" s="267">
        <f t="shared" si="28"/>
        <v>0</v>
      </c>
      <c r="H51" s="245">
        <f t="shared" si="28"/>
        <v>0</v>
      </c>
      <c r="I51" s="267">
        <f t="shared" si="28"/>
        <v>0</v>
      </c>
      <c r="J51" s="245">
        <f t="shared" si="28"/>
        <v>0</v>
      </c>
      <c r="K51" s="251">
        <f t="shared" si="28"/>
        <v>0</v>
      </c>
      <c r="L51" s="245">
        <f t="shared" si="28"/>
        <v>0</v>
      </c>
      <c r="M51" s="158">
        <v>0</v>
      </c>
      <c r="R51" s="248">
        <v>3481</v>
      </c>
      <c r="S51" s="248">
        <v>0</v>
      </c>
      <c r="T51" s="192"/>
      <c r="U51" s="248">
        <v>0</v>
      </c>
      <c r="V51" s="248">
        <v>556609</v>
      </c>
      <c r="W51" s="248">
        <v>0</v>
      </c>
      <c r="X51" s="248">
        <v>560090</v>
      </c>
      <c r="Y51" s="248">
        <v>0</v>
      </c>
      <c r="Z51" s="248">
        <v>560090</v>
      </c>
      <c r="AA51" s="248">
        <v>683264.00000000035</v>
      </c>
      <c r="AB51" s="248"/>
    </row>
    <row r="52" spans="1:28" ht="16.5">
      <c r="A52" s="367"/>
      <c r="B52" s="134" t="s">
        <v>455</v>
      </c>
      <c r="C52" s="250">
        <f t="shared" ref="C52:L52" si="29">IFERROR(C20/C84-1,0)</f>
        <v>0</v>
      </c>
      <c r="D52" s="246">
        <f t="shared" si="29"/>
        <v>0</v>
      </c>
      <c r="E52" s="267">
        <f t="shared" si="29"/>
        <v>0</v>
      </c>
      <c r="F52" s="245">
        <f t="shared" si="29"/>
        <v>0</v>
      </c>
      <c r="G52" s="267">
        <f t="shared" si="29"/>
        <v>0</v>
      </c>
      <c r="H52" s="245">
        <f t="shared" si="29"/>
        <v>0</v>
      </c>
      <c r="I52" s="267">
        <f t="shared" si="29"/>
        <v>0</v>
      </c>
      <c r="J52" s="245">
        <f t="shared" si="29"/>
        <v>0</v>
      </c>
      <c r="K52" s="251">
        <f t="shared" si="29"/>
        <v>0</v>
      </c>
      <c r="L52" s="245">
        <f t="shared" si="29"/>
        <v>0</v>
      </c>
      <c r="M52" s="158">
        <v>0</v>
      </c>
      <c r="R52" s="248">
        <v>4676</v>
      </c>
      <c r="S52" s="248">
        <v>0</v>
      </c>
      <c r="T52" s="192"/>
      <c r="U52" s="248">
        <v>55912</v>
      </c>
      <c r="V52" s="248">
        <v>0</v>
      </c>
      <c r="W52" s="248">
        <v>0</v>
      </c>
      <c r="X52" s="248">
        <v>4676</v>
      </c>
      <c r="Y52" s="248">
        <v>55912</v>
      </c>
      <c r="Z52" s="248">
        <v>60588</v>
      </c>
      <c r="AA52" s="248">
        <v>140736.99999999994</v>
      </c>
      <c r="AB52" s="248"/>
    </row>
    <row r="53" spans="1:28">
      <c r="A53" s="367"/>
      <c r="B53" s="134" t="s">
        <v>456</v>
      </c>
      <c r="C53" s="250">
        <f t="shared" ref="C53:L53" si="30">IFERROR(C21/C85-1,0)</f>
        <v>0</v>
      </c>
      <c r="D53" s="246">
        <f t="shared" si="30"/>
        <v>0</v>
      </c>
      <c r="E53" s="267">
        <f t="shared" si="30"/>
        <v>0</v>
      </c>
      <c r="F53" s="245">
        <f t="shared" si="30"/>
        <v>0</v>
      </c>
      <c r="G53" s="267">
        <f t="shared" si="30"/>
        <v>0</v>
      </c>
      <c r="H53" s="245">
        <f t="shared" si="30"/>
        <v>0</v>
      </c>
      <c r="I53" s="267">
        <f t="shared" si="30"/>
        <v>0</v>
      </c>
      <c r="J53" s="245">
        <f t="shared" si="30"/>
        <v>0</v>
      </c>
      <c r="K53" s="251">
        <f t="shared" si="30"/>
        <v>0</v>
      </c>
      <c r="L53" s="245">
        <f t="shared" si="30"/>
        <v>0</v>
      </c>
      <c r="M53" s="158">
        <v>0</v>
      </c>
      <c r="R53" s="248">
        <v>34419</v>
      </c>
      <c r="S53" s="248">
        <v>0</v>
      </c>
      <c r="T53" s="192"/>
      <c r="U53" s="248">
        <v>109783</v>
      </c>
      <c r="V53" s="248">
        <v>0</v>
      </c>
      <c r="W53" s="248">
        <v>0</v>
      </c>
      <c r="X53" s="248">
        <v>34419</v>
      </c>
      <c r="Y53" s="248">
        <v>109783</v>
      </c>
      <c r="Z53" s="248">
        <v>144202</v>
      </c>
      <c r="AA53" s="248">
        <v>568287.99999999977</v>
      </c>
      <c r="AB53" s="248"/>
    </row>
    <row r="54" spans="1:28">
      <c r="A54" s="367"/>
      <c r="B54" s="135" t="s">
        <v>65</v>
      </c>
      <c r="C54" s="268">
        <f t="shared" ref="C54:L54" si="31">IFERROR(C22/C86-1,0)</f>
        <v>0</v>
      </c>
      <c r="D54" s="269">
        <f t="shared" si="31"/>
        <v>0</v>
      </c>
      <c r="E54" s="270">
        <f t="shared" si="31"/>
        <v>0</v>
      </c>
      <c r="F54" s="271">
        <f t="shared" si="31"/>
        <v>0</v>
      </c>
      <c r="G54" s="270">
        <f t="shared" si="31"/>
        <v>0</v>
      </c>
      <c r="H54" s="271">
        <f t="shared" si="31"/>
        <v>0</v>
      </c>
      <c r="I54" s="270">
        <f t="shared" si="31"/>
        <v>0</v>
      </c>
      <c r="J54" s="271">
        <f t="shared" si="31"/>
        <v>0</v>
      </c>
      <c r="K54" s="272">
        <f t="shared" si="31"/>
        <v>0</v>
      </c>
      <c r="L54" s="271">
        <f t="shared" si="31"/>
        <v>0</v>
      </c>
      <c r="M54" s="158">
        <v>0</v>
      </c>
      <c r="O54" t="s">
        <v>516</v>
      </c>
      <c r="R54" s="248">
        <v>15282</v>
      </c>
      <c r="S54" s="248">
        <v>0</v>
      </c>
      <c r="T54" s="192"/>
      <c r="U54" s="248">
        <v>152610</v>
      </c>
      <c r="V54" s="248">
        <v>100913</v>
      </c>
      <c r="W54" s="248">
        <v>-1455</v>
      </c>
      <c r="X54" s="248">
        <v>114740</v>
      </c>
      <c r="Y54" s="248">
        <v>152610</v>
      </c>
      <c r="Z54" s="248">
        <v>267350</v>
      </c>
      <c r="AA54" s="248">
        <v>535540.99999999988</v>
      </c>
      <c r="AB54" s="248"/>
    </row>
    <row r="55" spans="1:28">
      <c r="A55" s="367" t="s">
        <v>554</v>
      </c>
      <c r="B55" s="134" t="s">
        <v>79</v>
      </c>
      <c r="C55" s="250">
        <f t="shared" ref="C55:M55" si="32">IFERROR(C23/C87-1,0)</f>
        <v>0</v>
      </c>
      <c r="D55" s="246">
        <f t="shared" si="32"/>
        <v>0</v>
      </c>
      <c r="E55" s="267">
        <f t="shared" si="32"/>
        <v>0</v>
      </c>
      <c r="F55" s="245">
        <f t="shared" si="32"/>
        <v>0</v>
      </c>
      <c r="G55" s="267">
        <f t="shared" si="32"/>
        <v>0</v>
      </c>
      <c r="H55" s="245">
        <f t="shared" si="32"/>
        <v>0</v>
      </c>
      <c r="I55" s="267">
        <f t="shared" si="32"/>
        <v>0</v>
      </c>
      <c r="J55" s="245">
        <f t="shared" si="32"/>
        <v>0</v>
      </c>
      <c r="K55" s="251">
        <f t="shared" si="32"/>
        <v>0</v>
      </c>
      <c r="L55" s="245">
        <f t="shared" si="32"/>
        <v>0</v>
      </c>
      <c r="M55" s="261">
        <f t="shared" si="32"/>
        <v>0</v>
      </c>
      <c r="O55" s="261">
        <f>IFERROR(O23/O87-1,0)</f>
        <v>0</v>
      </c>
      <c r="R55" s="248">
        <v>6943</v>
      </c>
      <c r="S55" s="248">
        <v>2165</v>
      </c>
      <c r="T55" s="192"/>
      <c r="U55" s="248">
        <v>379659</v>
      </c>
      <c r="V55" s="248">
        <v>0</v>
      </c>
      <c r="W55" s="248">
        <v>0</v>
      </c>
      <c r="X55" s="248">
        <v>9108</v>
      </c>
      <c r="Y55" s="248">
        <v>379659</v>
      </c>
      <c r="Z55" s="248">
        <v>388767</v>
      </c>
      <c r="AA55" s="248">
        <v>800075.99999999977</v>
      </c>
      <c r="AB55" s="248"/>
    </row>
    <row r="56" spans="1:28">
      <c r="A56" s="367"/>
      <c r="B56" s="134" t="s">
        <v>404</v>
      </c>
      <c r="C56" s="250">
        <f t="shared" ref="C56:L56" si="33">IFERROR(C24/C88-1,0)</f>
        <v>0</v>
      </c>
      <c r="D56" s="246">
        <f t="shared" si="33"/>
        <v>0</v>
      </c>
      <c r="E56" s="267">
        <f t="shared" si="33"/>
        <v>0</v>
      </c>
      <c r="F56" s="245">
        <f t="shared" si="33"/>
        <v>0</v>
      </c>
      <c r="G56" s="267">
        <f t="shared" si="33"/>
        <v>0</v>
      </c>
      <c r="H56" s="245">
        <f t="shared" si="33"/>
        <v>0</v>
      </c>
      <c r="I56" s="267">
        <f t="shared" si="33"/>
        <v>0</v>
      </c>
      <c r="J56" s="245">
        <f t="shared" si="33"/>
        <v>0</v>
      </c>
      <c r="K56" s="251">
        <f t="shared" si="33"/>
        <v>0</v>
      </c>
      <c r="L56" s="245">
        <f t="shared" si="33"/>
        <v>0</v>
      </c>
      <c r="M56" s="158">
        <v>0</v>
      </c>
      <c r="R56" s="248">
        <v>4688</v>
      </c>
      <c r="S56" s="248">
        <v>0</v>
      </c>
      <c r="T56" s="192"/>
      <c r="U56" s="248">
        <v>643203</v>
      </c>
      <c r="V56" s="248">
        <v>0</v>
      </c>
      <c r="W56" s="248">
        <v>0</v>
      </c>
      <c r="X56" s="248">
        <v>4688</v>
      </c>
      <c r="Y56" s="248">
        <v>643203</v>
      </c>
      <c r="Z56" s="248">
        <v>647891</v>
      </c>
      <c r="AA56" s="248">
        <v>793035.00000000012</v>
      </c>
      <c r="AB56" s="248"/>
    </row>
    <row r="57" spans="1:28">
      <c r="A57" s="367"/>
      <c r="B57" s="134" t="s">
        <v>87</v>
      </c>
      <c r="C57" s="250">
        <f t="shared" ref="C57:M57" si="34">IFERROR(C25/C89-1,0)</f>
        <v>0</v>
      </c>
      <c r="D57" s="246">
        <f t="shared" si="34"/>
        <v>0</v>
      </c>
      <c r="E57" s="267">
        <f t="shared" si="34"/>
        <v>0</v>
      </c>
      <c r="F57" s="245">
        <f t="shared" si="34"/>
        <v>0</v>
      </c>
      <c r="G57" s="267">
        <f t="shared" si="34"/>
        <v>0</v>
      </c>
      <c r="H57" s="245">
        <f t="shared" si="34"/>
        <v>0</v>
      </c>
      <c r="I57" s="267">
        <f t="shared" si="34"/>
        <v>0</v>
      </c>
      <c r="J57" s="245">
        <f t="shared" si="34"/>
        <v>0</v>
      </c>
      <c r="K57" s="251">
        <f t="shared" si="34"/>
        <v>0</v>
      </c>
      <c r="L57" s="245">
        <f t="shared" si="34"/>
        <v>0</v>
      </c>
      <c r="M57" s="261">
        <f t="shared" si="34"/>
        <v>0</v>
      </c>
      <c r="R57" s="248">
        <v>76293</v>
      </c>
      <c r="S57" s="248">
        <v>54812</v>
      </c>
      <c r="T57" s="192"/>
      <c r="U57" s="248">
        <v>915862</v>
      </c>
      <c r="V57" s="248">
        <v>46584</v>
      </c>
      <c r="W57" s="248">
        <v>0</v>
      </c>
      <c r="X57" s="248">
        <v>177689</v>
      </c>
      <c r="Y57" s="248">
        <v>915862</v>
      </c>
      <c r="Z57" s="248">
        <v>1093551</v>
      </c>
      <c r="AA57" s="248">
        <v>2125358</v>
      </c>
      <c r="AB57" s="248"/>
    </row>
    <row r="58" spans="1:28" ht="9" thickBot="1">
      <c r="A58" s="367"/>
      <c r="B58" s="134" t="s">
        <v>89</v>
      </c>
      <c r="C58" s="250">
        <f t="shared" ref="C58:M58" si="35">IFERROR(C26/C90-1,0)</f>
        <v>0</v>
      </c>
      <c r="D58" s="246">
        <f t="shared" si="35"/>
        <v>0</v>
      </c>
      <c r="E58" s="267">
        <f t="shared" si="35"/>
        <v>0</v>
      </c>
      <c r="F58" s="245">
        <f t="shared" si="35"/>
        <v>0</v>
      </c>
      <c r="G58" s="267">
        <f t="shared" si="35"/>
        <v>0</v>
      </c>
      <c r="H58" s="245">
        <f t="shared" si="35"/>
        <v>0</v>
      </c>
      <c r="I58" s="267">
        <f t="shared" si="35"/>
        <v>0</v>
      </c>
      <c r="J58" s="245">
        <f t="shared" si="35"/>
        <v>0</v>
      </c>
      <c r="K58" s="251">
        <f t="shared" si="35"/>
        <v>0</v>
      </c>
      <c r="L58" s="245">
        <f t="shared" si="35"/>
        <v>0</v>
      </c>
      <c r="M58" s="261">
        <f t="shared" si="35"/>
        <v>0</v>
      </c>
      <c r="R58" s="248">
        <v>0</v>
      </c>
      <c r="S58" s="248">
        <v>1465281</v>
      </c>
      <c r="T58" s="192"/>
      <c r="U58" s="248">
        <v>0</v>
      </c>
      <c r="V58" s="248">
        <v>0</v>
      </c>
      <c r="W58" s="248">
        <v>0</v>
      </c>
      <c r="X58" s="248">
        <v>1465281</v>
      </c>
      <c r="Y58" s="248">
        <v>0</v>
      </c>
      <c r="Z58" s="248">
        <v>1465281</v>
      </c>
      <c r="AA58" s="248">
        <v>1465281</v>
      </c>
      <c r="AB58" s="248"/>
    </row>
    <row r="59" spans="1:28" ht="17.25" thickTop="1">
      <c r="A59" s="367"/>
      <c r="B59" s="135" t="s">
        <v>410</v>
      </c>
      <c r="C59" s="268">
        <f t="shared" ref="C59:L59" si="36">IFERROR(C27/C91-1,0)</f>
        <v>0</v>
      </c>
      <c r="D59" s="269">
        <f t="shared" si="36"/>
        <v>0</v>
      </c>
      <c r="E59" s="270">
        <f t="shared" si="36"/>
        <v>0</v>
      </c>
      <c r="F59" s="271">
        <f t="shared" si="36"/>
        <v>0</v>
      </c>
      <c r="G59" s="270">
        <f t="shared" si="36"/>
        <v>0</v>
      </c>
      <c r="H59" s="271">
        <f t="shared" si="36"/>
        <v>0</v>
      </c>
      <c r="I59" s="270">
        <f t="shared" si="36"/>
        <v>0</v>
      </c>
      <c r="J59" s="271">
        <f t="shared" si="36"/>
        <v>0</v>
      </c>
      <c r="K59" s="251">
        <f t="shared" si="36"/>
        <v>0</v>
      </c>
      <c r="L59" s="245">
        <f t="shared" si="36"/>
        <v>0</v>
      </c>
      <c r="M59" s="158">
        <v>0</v>
      </c>
      <c r="R59" s="252">
        <v>1252049</v>
      </c>
      <c r="S59" s="252">
        <v>1532204</v>
      </c>
      <c r="T59" s="253"/>
      <c r="U59" s="252">
        <v>4805004</v>
      </c>
      <c r="V59" s="252">
        <v>1260227</v>
      </c>
      <c r="W59" s="252">
        <v>-33878</v>
      </c>
      <c r="X59" s="252">
        <v>4010602</v>
      </c>
      <c r="Y59" s="252">
        <v>4805004</v>
      </c>
      <c r="Z59" s="252">
        <v>8815606</v>
      </c>
      <c r="AA59" s="252">
        <v>15526867.999999998</v>
      </c>
      <c r="AB59" s="276"/>
    </row>
    <row r="60" spans="1:28" ht="16.5">
      <c r="B60" s="137" t="s">
        <v>189</v>
      </c>
      <c r="C60" s="419">
        <f>C28/C29-1</f>
        <v>0</v>
      </c>
      <c r="D60" s="420"/>
      <c r="E60" s="419">
        <f>E28/E29-1</f>
        <v>0</v>
      </c>
      <c r="F60" s="420"/>
      <c r="G60" s="419">
        <f>G28/G29-1</f>
        <v>0</v>
      </c>
      <c r="H60" s="420"/>
      <c r="I60" s="419">
        <f>I28/I29-1</f>
        <v>0</v>
      </c>
      <c r="J60" s="420"/>
      <c r="K60" s="419">
        <f>K28/K29-1</f>
        <v>0</v>
      </c>
      <c r="L60" s="420"/>
      <c r="M60" s="158">
        <v>0</v>
      </c>
    </row>
    <row r="61" spans="1:28">
      <c r="B61" s="46" t="s">
        <v>415</v>
      </c>
      <c r="C61" s="364">
        <v>562272</v>
      </c>
      <c r="D61" s="360"/>
      <c r="E61" s="364">
        <v>-918009</v>
      </c>
      <c r="F61" s="360"/>
      <c r="G61" s="364">
        <v>149429</v>
      </c>
      <c r="H61" s="360"/>
      <c r="I61" s="364">
        <v>125770</v>
      </c>
      <c r="J61" s="360"/>
      <c r="K61" s="365">
        <v>80538</v>
      </c>
      <c r="L61" s="366"/>
      <c r="M61" s="158">
        <v>0</v>
      </c>
    </row>
    <row r="63" spans="1:28">
      <c r="D63" s="255">
        <v>0</v>
      </c>
      <c r="F63" s="255">
        <v>0</v>
      </c>
      <c r="H63" s="255">
        <v>0</v>
      </c>
      <c r="J63" s="255">
        <v>0</v>
      </c>
      <c r="L63" s="255">
        <v>0</v>
      </c>
    </row>
    <row r="66" spans="1:19">
      <c r="C66" s="313" t="s">
        <v>2</v>
      </c>
      <c r="D66" s="314"/>
      <c r="E66" s="313" t="s">
        <v>293</v>
      </c>
      <c r="F66" s="314"/>
      <c r="G66" s="313" t="s">
        <v>266</v>
      </c>
      <c r="H66" s="314"/>
      <c r="I66" s="313" t="s">
        <v>265</v>
      </c>
      <c r="J66" s="314"/>
      <c r="K66" s="313" t="s">
        <v>412</v>
      </c>
      <c r="L66" s="314"/>
    </row>
    <row r="67" spans="1:19">
      <c r="C67" s="315"/>
      <c r="D67" s="316"/>
      <c r="E67" s="315"/>
      <c r="F67" s="316"/>
      <c r="G67" s="315"/>
      <c r="H67" s="316"/>
      <c r="I67" s="315"/>
      <c r="J67" s="316"/>
      <c r="K67" s="315"/>
      <c r="L67" s="316"/>
    </row>
    <row r="68" spans="1:19">
      <c r="C68" s="315"/>
      <c r="D68" s="316"/>
      <c r="E68" s="315"/>
      <c r="F68" s="316"/>
      <c r="G68" s="315"/>
      <c r="H68" s="316"/>
      <c r="I68" s="315"/>
      <c r="J68" s="316"/>
      <c r="K68" s="315"/>
      <c r="L68" s="316"/>
      <c r="S68" t="s">
        <v>565</v>
      </c>
    </row>
    <row r="69" spans="1:19">
      <c r="C69" s="315"/>
      <c r="D69" s="316"/>
      <c r="E69" s="315"/>
      <c r="F69" s="316"/>
      <c r="G69" s="315"/>
      <c r="H69" s="316"/>
      <c r="I69" s="315"/>
      <c r="J69" s="316"/>
      <c r="K69" s="315"/>
      <c r="L69" s="316"/>
    </row>
    <row r="70" spans="1:19" ht="24.75">
      <c r="C70" s="242" t="s">
        <v>413</v>
      </c>
      <c r="D70" s="242" t="s">
        <v>414</v>
      </c>
      <c r="E70" s="242" t="s">
        <v>413</v>
      </c>
      <c r="F70" s="242" t="s">
        <v>414</v>
      </c>
      <c r="G70" s="242" t="s">
        <v>413</v>
      </c>
      <c r="H70" s="242" t="s">
        <v>414</v>
      </c>
      <c r="I70" s="242" t="s">
        <v>413</v>
      </c>
      <c r="J70" s="242" t="s">
        <v>414</v>
      </c>
      <c r="K70" s="242" t="s">
        <v>557</v>
      </c>
      <c r="L70" s="242" t="s">
        <v>558</v>
      </c>
      <c r="N70" s="230" t="s">
        <v>540</v>
      </c>
      <c r="O70" s="230" t="s">
        <v>541</v>
      </c>
      <c r="P70" s="127" t="s">
        <v>564</v>
      </c>
    </row>
    <row r="71" spans="1:19" ht="16.5">
      <c r="B71" s="131" t="s">
        <v>98</v>
      </c>
      <c r="C71" s="236">
        <v>0</v>
      </c>
      <c r="D71" s="237">
        <v>0</v>
      </c>
      <c r="E71" s="160">
        <v>0</v>
      </c>
      <c r="F71" s="150">
        <v>0</v>
      </c>
      <c r="G71" s="160">
        <v>454549.99999999988</v>
      </c>
      <c r="H71" s="150">
        <v>0</v>
      </c>
      <c r="I71" s="160">
        <v>7155047</v>
      </c>
      <c r="J71" s="150">
        <v>0</v>
      </c>
      <c r="K71" s="169">
        <v>1206008.9999999998</v>
      </c>
      <c r="L71" s="150">
        <v>1252049</v>
      </c>
      <c r="M71" s="151">
        <v>7563557</v>
      </c>
      <c r="N71" s="158">
        <v>7609597</v>
      </c>
      <c r="O71" s="158">
        <v>6662425</v>
      </c>
      <c r="P71" s="255">
        <f>(L71-K71)/N71</f>
        <v>6.0502546981134791E-3</v>
      </c>
    </row>
    <row r="72" spans="1:19">
      <c r="A72" s="367" t="s">
        <v>555</v>
      </c>
      <c r="B72" s="132" t="s">
        <v>389</v>
      </c>
      <c r="C72" s="240">
        <v>2531961</v>
      </c>
      <c r="D72" s="238">
        <v>0</v>
      </c>
      <c r="E72" s="152">
        <v>0</v>
      </c>
      <c r="F72" s="154">
        <v>0</v>
      </c>
      <c r="G72" s="152">
        <v>0</v>
      </c>
      <c r="H72" s="154">
        <v>140273.99999999997</v>
      </c>
      <c r="I72" s="153">
        <v>0</v>
      </c>
      <c r="J72" s="154">
        <v>2391687</v>
      </c>
      <c r="K72" s="153">
        <v>0</v>
      </c>
      <c r="L72" s="154">
        <v>0</v>
      </c>
      <c r="M72" s="158">
        <v>2.9103830456733704E-11</v>
      </c>
    </row>
    <row r="73" spans="1:19">
      <c r="A73" s="367"/>
      <c r="B73" s="133" t="s">
        <v>28</v>
      </c>
      <c r="C73" s="234">
        <v>562617</v>
      </c>
      <c r="D73" s="235">
        <v>0</v>
      </c>
      <c r="E73" s="155">
        <v>0</v>
      </c>
      <c r="F73" s="157">
        <v>0</v>
      </c>
      <c r="G73" s="155">
        <v>0</v>
      </c>
      <c r="H73" s="157">
        <v>41010.999999999985</v>
      </c>
      <c r="I73" s="156">
        <v>0</v>
      </c>
      <c r="J73" s="157">
        <v>521606</v>
      </c>
      <c r="K73" s="156">
        <v>0</v>
      </c>
      <c r="L73" s="157">
        <v>0</v>
      </c>
      <c r="M73" s="158">
        <v>1.4551915228366852E-11</v>
      </c>
    </row>
    <row r="74" spans="1:19">
      <c r="A74" s="367"/>
      <c r="B74" s="133" t="s">
        <v>542</v>
      </c>
      <c r="C74" s="234">
        <v>0</v>
      </c>
      <c r="D74" s="235">
        <v>0</v>
      </c>
      <c r="E74" s="155">
        <v>0</v>
      </c>
      <c r="F74" s="157">
        <v>0</v>
      </c>
      <c r="G74" s="155">
        <v>0</v>
      </c>
      <c r="H74" s="157">
        <v>0</v>
      </c>
      <c r="I74" s="156">
        <v>0</v>
      </c>
      <c r="J74" s="157">
        <v>0</v>
      </c>
      <c r="K74" s="156">
        <v>0</v>
      </c>
      <c r="L74" s="157">
        <v>0</v>
      </c>
      <c r="M74" s="158">
        <v>0</v>
      </c>
    </row>
    <row r="75" spans="1:19">
      <c r="A75" s="367"/>
      <c r="B75" s="134" t="s">
        <v>19</v>
      </c>
      <c r="C75" s="234">
        <v>0</v>
      </c>
      <c r="D75" s="235">
        <v>0</v>
      </c>
      <c r="E75" s="155">
        <v>1014659.9999999999</v>
      </c>
      <c r="F75" s="157">
        <v>0</v>
      </c>
      <c r="G75" s="155">
        <v>0</v>
      </c>
      <c r="H75" s="157">
        <v>67487.999999999985</v>
      </c>
      <c r="I75" s="156">
        <v>0</v>
      </c>
      <c r="J75" s="157">
        <v>947171.99999999988</v>
      </c>
      <c r="K75" s="156">
        <v>0</v>
      </c>
      <c r="L75" s="157">
        <v>0</v>
      </c>
      <c r="M75" s="158">
        <v>1.4551915228366852E-11</v>
      </c>
    </row>
    <row r="76" spans="1:19" ht="16.5">
      <c r="A76" s="367"/>
      <c r="B76" s="135" t="s">
        <v>34</v>
      </c>
      <c r="C76" s="241">
        <v>0</v>
      </c>
      <c r="D76" s="239">
        <v>0</v>
      </c>
      <c r="E76" s="166">
        <v>86390.999999999985</v>
      </c>
      <c r="F76" s="168">
        <v>0</v>
      </c>
      <c r="G76" s="166">
        <v>0</v>
      </c>
      <c r="H76" s="168">
        <v>9261.9999999999982</v>
      </c>
      <c r="I76" s="167">
        <v>0</v>
      </c>
      <c r="J76" s="168">
        <v>77128.999999999985</v>
      </c>
      <c r="K76" s="167">
        <v>0</v>
      </c>
      <c r="L76" s="168">
        <v>0</v>
      </c>
      <c r="M76" s="158">
        <v>1.8189894035458565E-12</v>
      </c>
    </row>
    <row r="77" spans="1:19">
      <c r="A77" s="367" t="s">
        <v>556</v>
      </c>
      <c r="B77" s="132" t="s">
        <v>40</v>
      </c>
      <c r="C77" s="240">
        <v>249546</v>
      </c>
      <c r="D77" s="238">
        <v>205143</v>
      </c>
      <c r="E77" s="152">
        <v>191053</v>
      </c>
      <c r="F77" s="154">
        <v>446981</v>
      </c>
      <c r="G77" s="152">
        <v>1235025</v>
      </c>
      <c r="H77" s="154">
        <v>1060460</v>
      </c>
      <c r="I77" s="152">
        <v>246213</v>
      </c>
      <c r="J77" s="154">
        <v>282899</v>
      </c>
      <c r="K77" s="153">
        <v>106219</v>
      </c>
      <c r="L77" s="154">
        <v>32573</v>
      </c>
      <c r="M77" s="158">
        <v>0</v>
      </c>
    </row>
    <row r="78" spans="1:19">
      <c r="A78" s="367"/>
      <c r="B78" s="133" t="s">
        <v>408</v>
      </c>
      <c r="C78" s="234">
        <v>1888670</v>
      </c>
      <c r="D78" s="235">
        <v>0</v>
      </c>
      <c r="E78" s="155">
        <v>0</v>
      </c>
      <c r="F78" s="157">
        <v>0</v>
      </c>
      <c r="G78" s="155">
        <v>0</v>
      </c>
      <c r="H78" s="157">
        <v>153250</v>
      </c>
      <c r="I78" s="155">
        <v>0</v>
      </c>
      <c r="J78" s="157">
        <v>1821126</v>
      </c>
      <c r="K78" s="156">
        <v>85706.000000000102</v>
      </c>
      <c r="L78" s="157">
        <v>0</v>
      </c>
      <c r="M78" s="158">
        <v>0</v>
      </c>
    </row>
    <row r="79" spans="1:19">
      <c r="A79" s="367"/>
      <c r="B79" s="133" t="s">
        <v>392</v>
      </c>
      <c r="C79" s="234">
        <v>0</v>
      </c>
      <c r="D79" s="235">
        <v>0</v>
      </c>
      <c r="E79" s="155">
        <v>0</v>
      </c>
      <c r="F79" s="157">
        <v>0</v>
      </c>
      <c r="G79" s="155">
        <v>0</v>
      </c>
      <c r="H79" s="157">
        <v>0</v>
      </c>
      <c r="I79" s="155">
        <v>0</v>
      </c>
      <c r="J79" s="157">
        <v>0</v>
      </c>
      <c r="K79" s="156">
        <v>0</v>
      </c>
      <c r="L79" s="157">
        <v>0</v>
      </c>
      <c r="M79" s="158">
        <v>0</v>
      </c>
    </row>
    <row r="80" spans="1:19">
      <c r="A80" s="367"/>
      <c r="B80" s="133" t="s">
        <v>401</v>
      </c>
      <c r="C80" s="234">
        <v>0</v>
      </c>
      <c r="D80" s="235">
        <v>0</v>
      </c>
      <c r="E80" s="155">
        <v>0</v>
      </c>
      <c r="F80" s="157">
        <v>0</v>
      </c>
      <c r="G80" s="155">
        <v>0</v>
      </c>
      <c r="H80" s="157">
        <v>0</v>
      </c>
      <c r="I80" s="155">
        <v>0</v>
      </c>
      <c r="J80" s="157">
        <v>0</v>
      </c>
      <c r="K80" s="156">
        <v>0</v>
      </c>
      <c r="L80" s="157">
        <v>0</v>
      </c>
      <c r="M80" s="158">
        <v>0</v>
      </c>
    </row>
    <row r="81" spans="1:15">
      <c r="A81" s="367"/>
      <c r="B81" s="243" t="s">
        <v>288</v>
      </c>
      <c r="C81" s="241">
        <v>0</v>
      </c>
      <c r="D81" s="239">
        <v>0</v>
      </c>
      <c r="E81" s="166">
        <v>0</v>
      </c>
      <c r="F81" s="168">
        <v>0</v>
      </c>
      <c r="G81" s="166">
        <v>0</v>
      </c>
      <c r="H81" s="168">
        <v>0</v>
      </c>
      <c r="I81" s="166">
        <v>0</v>
      </c>
      <c r="J81" s="168">
        <v>0</v>
      </c>
      <c r="K81" s="167">
        <v>0</v>
      </c>
      <c r="L81" s="168">
        <v>0</v>
      </c>
      <c r="M81" s="158">
        <v>0</v>
      </c>
    </row>
    <row r="82" spans="1:15" ht="16.5">
      <c r="A82" s="367" t="s">
        <v>553</v>
      </c>
      <c r="B82" s="159" t="s">
        <v>453</v>
      </c>
      <c r="C82" s="234">
        <v>0</v>
      </c>
      <c r="D82" s="235">
        <v>362776</v>
      </c>
      <c r="E82" s="155">
        <v>917257</v>
      </c>
      <c r="F82" s="157">
        <v>0</v>
      </c>
      <c r="G82" s="155">
        <v>0</v>
      </c>
      <c r="H82" s="235">
        <v>42715</v>
      </c>
      <c r="I82" s="155">
        <v>0</v>
      </c>
      <c r="J82" s="235">
        <v>511766.00000000006</v>
      </c>
      <c r="K82" s="156">
        <v>0</v>
      </c>
      <c r="L82" s="157">
        <v>0</v>
      </c>
      <c r="M82" s="158">
        <v>0</v>
      </c>
    </row>
    <row r="83" spans="1:15">
      <c r="A83" s="367"/>
      <c r="B83" s="134" t="s">
        <v>50</v>
      </c>
      <c r="C83" s="234">
        <v>0</v>
      </c>
      <c r="D83" s="235">
        <v>895266</v>
      </c>
      <c r="E83" s="155">
        <v>800730</v>
      </c>
      <c r="F83" s="157">
        <v>0</v>
      </c>
      <c r="G83" s="155">
        <v>94536</v>
      </c>
      <c r="H83" s="157">
        <v>0</v>
      </c>
      <c r="I83" s="155">
        <v>0</v>
      </c>
      <c r="J83" s="157">
        <v>0</v>
      </c>
      <c r="K83" s="156">
        <v>0</v>
      </c>
      <c r="L83" s="157">
        <v>0</v>
      </c>
      <c r="M83" s="158">
        <v>0</v>
      </c>
    </row>
    <row r="84" spans="1:15" ht="16.5">
      <c r="A84" s="367"/>
      <c r="B84" s="134" t="s">
        <v>455</v>
      </c>
      <c r="C84" s="234">
        <v>1254637</v>
      </c>
      <c r="D84" s="235">
        <v>0</v>
      </c>
      <c r="E84" s="155">
        <v>0</v>
      </c>
      <c r="F84" s="157">
        <v>1254637</v>
      </c>
      <c r="G84" s="155">
        <v>0</v>
      </c>
      <c r="H84" s="157">
        <v>0</v>
      </c>
      <c r="I84" s="155">
        <v>0</v>
      </c>
      <c r="J84" s="157">
        <v>0</v>
      </c>
      <c r="K84" s="156">
        <v>0</v>
      </c>
      <c r="L84" s="157">
        <v>0</v>
      </c>
      <c r="M84" s="158">
        <v>0</v>
      </c>
    </row>
    <row r="85" spans="1:15">
      <c r="A85" s="367"/>
      <c r="B85" s="134" t="s">
        <v>456</v>
      </c>
      <c r="C85" s="234">
        <v>717798</v>
      </c>
      <c r="D85" s="235">
        <v>0</v>
      </c>
      <c r="E85" s="155">
        <v>0</v>
      </c>
      <c r="F85" s="157">
        <v>624646</v>
      </c>
      <c r="G85" s="155">
        <v>0</v>
      </c>
      <c r="H85" s="157">
        <v>93152</v>
      </c>
      <c r="I85" s="155">
        <v>0</v>
      </c>
      <c r="J85" s="157">
        <v>0</v>
      </c>
      <c r="K85" s="156">
        <v>0</v>
      </c>
      <c r="L85" s="157">
        <v>0</v>
      </c>
      <c r="M85" s="158">
        <v>0</v>
      </c>
    </row>
    <row r="86" spans="1:15">
      <c r="A86" s="367"/>
      <c r="B86" s="135" t="s">
        <v>65</v>
      </c>
      <c r="C86" s="241">
        <v>35242</v>
      </c>
      <c r="D86" s="239">
        <v>0</v>
      </c>
      <c r="E86" s="166">
        <v>70054</v>
      </c>
      <c r="F86" s="168">
        <v>0</v>
      </c>
      <c r="G86" s="166">
        <v>0</v>
      </c>
      <c r="H86" s="168">
        <v>13352</v>
      </c>
      <c r="I86" s="166">
        <v>0</v>
      </c>
      <c r="J86" s="168">
        <v>59170</v>
      </c>
      <c r="K86" s="167">
        <v>0</v>
      </c>
      <c r="L86" s="168">
        <v>32774</v>
      </c>
      <c r="M86" s="158">
        <v>0</v>
      </c>
      <c r="O86" t="s">
        <v>516</v>
      </c>
    </row>
    <row r="87" spans="1:15">
      <c r="A87" s="367" t="s">
        <v>554</v>
      </c>
      <c r="B87" s="134" t="s">
        <v>79</v>
      </c>
      <c r="C87" s="234">
        <v>0</v>
      </c>
      <c r="D87" s="235">
        <v>4805004</v>
      </c>
      <c r="E87" s="155">
        <v>0</v>
      </c>
      <c r="F87" s="157">
        <v>1532204</v>
      </c>
      <c r="G87" s="155">
        <v>0</v>
      </c>
      <c r="H87" s="157">
        <v>0</v>
      </c>
      <c r="I87" s="155">
        <v>0</v>
      </c>
      <c r="J87" s="157">
        <v>0</v>
      </c>
      <c r="K87" s="156">
        <v>0</v>
      </c>
      <c r="L87" s="157">
        <v>0</v>
      </c>
      <c r="M87" s="158">
        <v>-6337208</v>
      </c>
      <c r="O87" s="158">
        <v>8815606</v>
      </c>
    </row>
    <row r="88" spans="1:15">
      <c r="A88" s="367"/>
      <c r="B88" s="134" t="s">
        <v>404</v>
      </c>
      <c r="C88" s="234">
        <v>0</v>
      </c>
      <c r="D88" s="235">
        <v>0</v>
      </c>
      <c r="E88" s="155">
        <v>0</v>
      </c>
      <c r="F88" s="157">
        <v>0</v>
      </c>
      <c r="G88" s="155">
        <v>0</v>
      </c>
      <c r="H88" s="157">
        <v>0</v>
      </c>
      <c r="I88" s="155">
        <v>0</v>
      </c>
      <c r="J88" s="157">
        <v>0</v>
      </c>
      <c r="K88" s="156">
        <v>0</v>
      </c>
      <c r="L88" s="157">
        <v>0</v>
      </c>
      <c r="M88" s="158">
        <v>0</v>
      </c>
    </row>
    <row r="89" spans="1:15">
      <c r="A89" s="367"/>
      <c r="B89" s="134" t="s">
        <v>87</v>
      </c>
      <c r="C89" s="234">
        <v>0</v>
      </c>
      <c r="D89" s="235">
        <v>410010</v>
      </c>
      <c r="E89" s="155">
        <v>0</v>
      </c>
      <c r="F89" s="157">
        <v>139686</v>
      </c>
      <c r="G89" s="155">
        <v>0</v>
      </c>
      <c r="H89" s="157">
        <v>13718</v>
      </c>
      <c r="I89" s="155">
        <v>0</v>
      </c>
      <c r="J89" s="157">
        <v>696813</v>
      </c>
      <c r="K89" s="156">
        <v>0</v>
      </c>
      <c r="L89" s="157">
        <v>0</v>
      </c>
      <c r="M89" s="158">
        <v>-1260227</v>
      </c>
    </row>
    <row r="90" spans="1:15">
      <c r="A90" s="367"/>
      <c r="B90" s="134" t="s">
        <v>89</v>
      </c>
      <c r="C90" s="234">
        <v>0</v>
      </c>
      <c r="D90" s="235">
        <v>0</v>
      </c>
      <c r="E90" s="155">
        <v>0</v>
      </c>
      <c r="F90" s="157">
        <v>0</v>
      </c>
      <c r="G90" s="155">
        <v>0</v>
      </c>
      <c r="H90" s="157">
        <v>0</v>
      </c>
      <c r="I90" s="155">
        <v>0</v>
      </c>
      <c r="J90" s="157">
        <v>-33878</v>
      </c>
      <c r="K90" s="156">
        <v>0</v>
      </c>
      <c r="L90" s="157">
        <v>0</v>
      </c>
      <c r="M90" s="158">
        <v>33878</v>
      </c>
    </row>
    <row r="91" spans="1:15" ht="16.5">
      <c r="A91" s="367"/>
      <c r="B91" s="135" t="s">
        <v>410</v>
      </c>
      <c r="C91" s="241">
        <v>0</v>
      </c>
      <c r="D91" s="239">
        <v>0</v>
      </c>
      <c r="E91" s="166">
        <v>0</v>
      </c>
      <c r="F91" s="168">
        <v>0</v>
      </c>
      <c r="G91" s="166">
        <v>0</v>
      </c>
      <c r="H91" s="168">
        <v>0</v>
      </c>
      <c r="I91" s="166">
        <v>0</v>
      </c>
      <c r="J91" s="168">
        <v>0</v>
      </c>
      <c r="K91" s="156">
        <v>0</v>
      </c>
      <c r="L91" s="157">
        <v>0</v>
      </c>
      <c r="M91" s="158">
        <v>0</v>
      </c>
    </row>
    <row r="92" spans="1:15" ht="16.5">
      <c r="B92" s="137" t="s">
        <v>189</v>
      </c>
      <c r="C92" s="364">
        <v>562272</v>
      </c>
      <c r="D92" s="360"/>
      <c r="E92" s="364">
        <v>-918009</v>
      </c>
      <c r="F92" s="360"/>
      <c r="G92" s="364">
        <v>149429</v>
      </c>
      <c r="H92" s="360"/>
      <c r="I92" s="364">
        <v>125770</v>
      </c>
      <c r="J92" s="360"/>
      <c r="K92" s="364">
        <v>80538</v>
      </c>
      <c r="L92" s="360"/>
      <c r="M92" s="158">
        <v>0</v>
      </c>
    </row>
    <row r="93" spans="1:15">
      <c r="B93" s="46" t="s">
        <v>415</v>
      </c>
      <c r="C93" s="364">
        <v>562272</v>
      </c>
      <c r="D93" s="360"/>
      <c r="E93" s="364">
        <v>-918009</v>
      </c>
      <c r="F93" s="360"/>
      <c r="G93" s="364">
        <v>149429</v>
      </c>
      <c r="H93" s="360"/>
      <c r="I93" s="364">
        <v>125770</v>
      </c>
      <c r="J93" s="360"/>
      <c r="K93" s="365">
        <v>80538</v>
      </c>
      <c r="L93" s="366"/>
      <c r="M93" s="158">
        <v>0</v>
      </c>
    </row>
    <row r="95" spans="1:15">
      <c r="D95" s="255">
        <v>0</v>
      </c>
      <c r="F95" s="255">
        <v>0</v>
      </c>
      <c r="H95" s="255">
        <v>0</v>
      </c>
      <c r="J95" s="255">
        <v>0</v>
      </c>
      <c r="L95" s="255">
        <v>0</v>
      </c>
    </row>
  </sheetData>
  <mergeCells count="108">
    <mergeCell ref="A13:A17"/>
    <mergeCell ref="A18:A22"/>
    <mergeCell ref="A23:A27"/>
    <mergeCell ref="C28:D28"/>
    <mergeCell ref="E28:F28"/>
    <mergeCell ref="G28:H28"/>
    <mergeCell ref="C2:D5"/>
    <mergeCell ref="E2:F5"/>
    <mergeCell ref="G2:H5"/>
    <mergeCell ref="A8:A12"/>
    <mergeCell ref="AA42:AA45"/>
    <mergeCell ref="T3:T6"/>
    <mergeCell ref="U3:U6"/>
    <mergeCell ref="V3:V6"/>
    <mergeCell ref="W3:W6"/>
    <mergeCell ref="Y3:Y6"/>
    <mergeCell ref="X3:X6"/>
    <mergeCell ref="Z3:Z6"/>
    <mergeCell ref="R3:R6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D3:AD6"/>
    <mergeCell ref="I28:J28"/>
    <mergeCell ref="K28:L28"/>
    <mergeCell ref="C29:D29"/>
    <mergeCell ref="E29:F29"/>
    <mergeCell ref="G29:H29"/>
    <mergeCell ref="I29:J29"/>
    <mergeCell ref="K29:L29"/>
    <mergeCell ref="I2:J5"/>
    <mergeCell ref="K2:L5"/>
    <mergeCell ref="R1:AB2"/>
    <mergeCell ref="AA22:AA25"/>
    <mergeCell ref="X22:X25"/>
    <mergeCell ref="Y22:Y25"/>
    <mergeCell ref="R22:R25"/>
    <mergeCell ref="S22:S25"/>
    <mergeCell ref="T22:T25"/>
    <mergeCell ref="U22:U25"/>
    <mergeCell ref="V22:V25"/>
    <mergeCell ref="W22:W25"/>
    <mergeCell ref="Z22:Z25"/>
    <mergeCell ref="AK22:AK25"/>
    <mergeCell ref="AL22:AL25"/>
    <mergeCell ref="AM22:AM25"/>
    <mergeCell ref="K61:L61"/>
    <mergeCell ref="I61:J61"/>
    <mergeCell ref="G61:H61"/>
    <mergeCell ref="AK3:AK6"/>
    <mergeCell ref="AL3:AL6"/>
    <mergeCell ref="AM3:AM6"/>
    <mergeCell ref="AD22:AD25"/>
    <mergeCell ref="AE22:AE25"/>
    <mergeCell ref="AF22:AF25"/>
    <mergeCell ref="AG22:AG25"/>
    <mergeCell ref="AH22:AH25"/>
    <mergeCell ref="AI22:AI25"/>
    <mergeCell ref="AJ22:AJ25"/>
    <mergeCell ref="AE3:AE6"/>
    <mergeCell ref="AF3:AF6"/>
    <mergeCell ref="AG3:AG6"/>
    <mergeCell ref="AH3:AH6"/>
    <mergeCell ref="AI3:AI6"/>
    <mergeCell ref="AJ3:AJ6"/>
    <mergeCell ref="AA3:AA6"/>
    <mergeCell ref="S3:S6"/>
    <mergeCell ref="A40:A44"/>
    <mergeCell ref="K34:L37"/>
    <mergeCell ref="I34:J37"/>
    <mergeCell ref="G34:H37"/>
    <mergeCell ref="E34:F37"/>
    <mergeCell ref="C34:D37"/>
    <mergeCell ref="E61:F61"/>
    <mergeCell ref="C61:D61"/>
    <mergeCell ref="K60:L60"/>
    <mergeCell ref="I60:J60"/>
    <mergeCell ref="G60:H60"/>
    <mergeCell ref="E60:F60"/>
    <mergeCell ref="C60:D60"/>
    <mergeCell ref="C66:D69"/>
    <mergeCell ref="E66:F69"/>
    <mergeCell ref="G66:H69"/>
    <mergeCell ref="I66:J69"/>
    <mergeCell ref="K66:L69"/>
    <mergeCell ref="A72:A76"/>
    <mergeCell ref="A55:A59"/>
    <mergeCell ref="A50:A54"/>
    <mergeCell ref="A45:A49"/>
    <mergeCell ref="I92:J92"/>
    <mergeCell ref="K92:L92"/>
    <mergeCell ref="C93:D93"/>
    <mergeCell ref="E93:F93"/>
    <mergeCell ref="G93:H93"/>
    <mergeCell ref="I93:J93"/>
    <mergeCell ref="K93:L93"/>
    <mergeCell ref="A77:A81"/>
    <mergeCell ref="A82:A86"/>
    <mergeCell ref="A87:A91"/>
    <mergeCell ref="C92:D92"/>
    <mergeCell ref="E92:F92"/>
    <mergeCell ref="G92:H9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F490-50A8-4D2C-9DEB-C500FFDFFE28}">
  <dimension ref="A1:AM95"/>
  <sheetViews>
    <sheetView zoomScale="130" zoomScaleNormal="130" workbookViewId="0">
      <selection activeCell="R1" sqref="R1:AB2"/>
    </sheetView>
  </sheetViews>
  <sheetFormatPr defaultRowHeight="8.25"/>
  <cols>
    <col min="1" max="1" width="19.59765625" customWidth="1"/>
    <col min="2" max="2" width="42.59765625" bestFit="1" customWidth="1"/>
    <col min="3" max="8" width="12.3984375" customWidth="1"/>
    <col min="9" max="10" width="15.3984375" customWidth="1"/>
    <col min="11" max="12" width="12.3984375" customWidth="1"/>
    <col min="13" max="13" width="10.796875" bestFit="1" customWidth="1"/>
    <col min="14" max="14" width="15.19921875" bestFit="1" customWidth="1"/>
    <col min="15" max="15" width="13.796875" bestFit="1" customWidth="1"/>
    <col min="16" max="16" width="13.796875" customWidth="1"/>
    <col min="17" max="17" width="3.796875" customWidth="1"/>
    <col min="18" max="19" width="16.59765625" customWidth="1"/>
    <col min="20" max="22" width="13.796875" customWidth="1"/>
    <col min="23" max="36" width="20.59765625" customWidth="1"/>
  </cols>
  <sheetData>
    <row r="1" spans="1:39" ht="8.25" customHeight="1">
      <c r="R1" s="431" t="s">
        <v>577</v>
      </c>
      <c r="S1" s="431"/>
      <c r="T1" s="431"/>
      <c r="U1" s="431"/>
      <c r="V1" s="431"/>
      <c r="W1" s="431"/>
      <c r="X1" s="431"/>
      <c r="Y1" s="431"/>
      <c r="Z1" s="431"/>
      <c r="AA1" s="431"/>
      <c r="AB1" s="431"/>
      <c r="AC1" s="278"/>
    </row>
    <row r="2" spans="1:39" ht="18.75" customHeight="1" thickBot="1">
      <c r="C2" s="313" t="s">
        <v>2</v>
      </c>
      <c r="D2" s="314"/>
      <c r="E2" s="313" t="s">
        <v>293</v>
      </c>
      <c r="F2" s="314"/>
      <c r="G2" s="313" t="s">
        <v>266</v>
      </c>
      <c r="H2" s="314"/>
      <c r="I2" s="313" t="s">
        <v>265</v>
      </c>
      <c r="J2" s="314"/>
      <c r="K2" s="313" t="s">
        <v>412</v>
      </c>
      <c r="L2" s="314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279">
        <f>(AA20-AA39)^2*1000</f>
        <v>3.4694469519536142E-15</v>
      </c>
    </row>
    <row r="3" spans="1:39" ht="18.75" customHeight="1" thickTop="1">
      <c r="C3" s="315"/>
      <c r="D3" s="316"/>
      <c r="E3" s="315"/>
      <c r="F3" s="316"/>
      <c r="G3" s="315"/>
      <c r="H3" s="316"/>
      <c r="I3" s="315"/>
      <c r="J3" s="316"/>
      <c r="K3" s="315"/>
      <c r="L3" s="316"/>
      <c r="P3" t="s">
        <v>579</v>
      </c>
      <c r="R3" s="424" t="s">
        <v>518</v>
      </c>
      <c r="S3" s="424" t="s">
        <v>519</v>
      </c>
      <c r="T3" s="421" t="s">
        <v>520</v>
      </c>
      <c r="U3" s="421" t="s">
        <v>578</v>
      </c>
      <c r="V3" s="421" t="s">
        <v>522</v>
      </c>
      <c r="W3" s="421" t="s">
        <v>523</v>
      </c>
      <c r="X3" s="421" t="s">
        <v>562</v>
      </c>
      <c r="Y3" s="421" t="s">
        <v>561</v>
      </c>
      <c r="Z3" s="421" t="s">
        <v>516</v>
      </c>
      <c r="AA3" s="434" t="s">
        <v>575</v>
      </c>
      <c r="AB3" s="275"/>
      <c r="AD3" s="421" t="s">
        <v>518</v>
      </c>
      <c r="AE3" s="421" t="s">
        <v>519</v>
      </c>
      <c r="AF3" s="421" t="s">
        <v>520</v>
      </c>
      <c r="AG3" s="421" t="s">
        <v>521</v>
      </c>
      <c r="AH3" s="421" t="s">
        <v>522</v>
      </c>
      <c r="AI3" s="421" t="s">
        <v>523</v>
      </c>
      <c r="AJ3" s="421" t="s">
        <v>562</v>
      </c>
      <c r="AK3" s="421" t="s">
        <v>561</v>
      </c>
      <c r="AL3" s="421" t="s">
        <v>516</v>
      </c>
      <c r="AM3" s="421" t="s">
        <v>563</v>
      </c>
    </row>
    <row r="4" spans="1:39" ht="18.75" customHeight="1">
      <c r="C4" s="315"/>
      <c r="D4" s="316"/>
      <c r="E4" s="315"/>
      <c r="F4" s="316"/>
      <c r="G4" s="315"/>
      <c r="H4" s="316"/>
      <c r="I4" s="315"/>
      <c r="J4" s="316"/>
      <c r="K4" s="315"/>
      <c r="L4" s="316"/>
      <c r="P4" s="254">
        <f>E28/N7</f>
        <v>-0.12063832026847145</v>
      </c>
      <c r="R4" s="432"/>
      <c r="S4" s="425"/>
      <c r="T4" s="422"/>
      <c r="U4" s="422"/>
      <c r="V4" s="427"/>
      <c r="W4" s="427"/>
      <c r="X4" s="422"/>
      <c r="Y4" s="422"/>
      <c r="Z4" s="422"/>
      <c r="AA4" s="435"/>
      <c r="AB4" s="275"/>
      <c r="AD4" s="429"/>
      <c r="AE4" s="422"/>
      <c r="AF4" s="422"/>
      <c r="AG4" s="422"/>
      <c r="AH4" s="427"/>
      <c r="AI4" s="427"/>
      <c r="AJ4" s="422"/>
      <c r="AK4" s="422"/>
      <c r="AL4" s="422"/>
      <c r="AM4" s="422"/>
    </row>
    <row r="5" spans="1:39" ht="18.75" customHeight="1">
      <c r="C5" s="315"/>
      <c r="D5" s="316"/>
      <c r="E5" s="315"/>
      <c r="F5" s="316"/>
      <c r="G5" s="315"/>
      <c r="H5" s="316"/>
      <c r="I5" s="315"/>
      <c r="J5" s="316"/>
      <c r="K5" s="315"/>
      <c r="L5" s="316"/>
      <c r="R5" s="432"/>
      <c r="S5" s="425"/>
      <c r="T5" s="422"/>
      <c r="U5" s="422"/>
      <c r="V5" s="427"/>
      <c r="W5" s="427"/>
      <c r="X5" s="422"/>
      <c r="Y5" s="422"/>
      <c r="Z5" s="422"/>
      <c r="AA5" s="435"/>
      <c r="AB5" s="275" t="s">
        <v>17</v>
      </c>
      <c r="AD5" s="429"/>
      <c r="AE5" s="422"/>
      <c r="AF5" s="422"/>
      <c r="AG5" s="422"/>
      <c r="AH5" s="427"/>
      <c r="AI5" s="427"/>
      <c r="AJ5" s="422"/>
      <c r="AK5" s="422"/>
      <c r="AL5" s="422"/>
      <c r="AM5" s="422"/>
    </row>
    <row r="6" spans="1:39" ht="25.5" thickBot="1">
      <c r="C6" s="242" t="s">
        <v>413</v>
      </c>
      <c r="D6" s="242" t="s">
        <v>414</v>
      </c>
      <c r="E6" s="242" t="s">
        <v>413</v>
      </c>
      <c r="F6" s="242" t="s">
        <v>414</v>
      </c>
      <c r="G6" s="242" t="s">
        <v>413</v>
      </c>
      <c r="H6" s="242" t="s">
        <v>414</v>
      </c>
      <c r="I6" s="242" t="s">
        <v>413</v>
      </c>
      <c r="J6" s="242" t="s">
        <v>414</v>
      </c>
      <c r="K6" s="242" t="s">
        <v>557</v>
      </c>
      <c r="L6" s="242" t="s">
        <v>558</v>
      </c>
      <c r="N6" s="230" t="s">
        <v>540</v>
      </c>
      <c r="O6" s="230" t="s">
        <v>541</v>
      </c>
      <c r="P6" s="127" t="s">
        <v>564</v>
      </c>
      <c r="Q6" s="127"/>
      <c r="R6" s="433"/>
      <c r="S6" s="426"/>
      <c r="T6" s="423"/>
      <c r="U6" s="423"/>
      <c r="V6" s="428"/>
      <c r="W6" s="428"/>
      <c r="X6" s="423"/>
      <c r="Y6" s="423"/>
      <c r="Z6" s="423"/>
      <c r="AA6" s="436"/>
      <c r="AB6" s="275"/>
      <c r="AD6" s="430"/>
      <c r="AE6" s="423"/>
      <c r="AF6" s="423"/>
      <c r="AG6" s="423"/>
      <c r="AH6" s="428"/>
      <c r="AI6" s="428"/>
      <c r="AJ6" s="423"/>
      <c r="AK6" s="423"/>
      <c r="AL6" s="423"/>
      <c r="AM6" s="423"/>
    </row>
    <row r="7" spans="1:39" ht="17.25" customHeight="1" thickTop="1">
      <c r="B7" s="131" t="s">
        <v>98</v>
      </c>
      <c r="C7" s="236">
        <f>CEIResumida!D80</f>
        <v>0</v>
      </c>
      <c r="D7" s="237">
        <f>CEIResumida!E80</f>
        <v>0</v>
      </c>
      <c r="E7" s="160">
        <f>CEIResumida!F80</f>
        <v>0</v>
      </c>
      <c r="F7" s="150">
        <f>CEIResumida!G80</f>
        <v>0</v>
      </c>
      <c r="G7" s="160">
        <f>SimulTRU2!S54</f>
        <v>454550.00000000035</v>
      </c>
      <c r="H7" s="150">
        <f>CEIResumida!I80</f>
        <v>0</v>
      </c>
      <c r="I7" s="160">
        <f>SimulTRU2!X54-SimulTRU2!S54</f>
        <v>7155047.0000000037</v>
      </c>
      <c r="J7" s="150">
        <f>CEIResumida!K80</f>
        <v>0</v>
      </c>
      <c r="K7" s="160">
        <f>SimulTRU2!Y24</f>
        <v>1206009.0000000005</v>
      </c>
      <c r="L7" s="150">
        <f>R20</f>
        <v>1252049</v>
      </c>
      <c r="M7" s="151">
        <f>G7+I7+K7-L7</f>
        <v>7563557.0000000037</v>
      </c>
      <c r="N7" s="158">
        <f>G7+I7</f>
        <v>7609597.0000000037</v>
      </c>
      <c r="O7" s="158">
        <f>N7-J11</f>
        <v>6662425.0000000037</v>
      </c>
      <c r="P7" s="255">
        <f>(L7-K7)/N7</f>
        <v>6.0502546981133836E-3</v>
      </c>
      <c r="Q7" s="255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</row>
    <row r="8" spans="1:39" ht="8.25" customHeight="1">
      <c r="A8" s="367" t="s">
        <v>555</v>
      </c>
      <c r="B8" s="132" t="s">
        <v>389</v>
      </c>
      <c r="C8" s="240">
        <f>SimulTRU2!W56</f>
        <v>2531961.0000000009</v>
      </c>
      <c r="D8" s="238">
        <f>CEIResumida!E81</f>
        <v>0</v>
      </c>
      <c r="E8" s="152">
        <f>CEIResumida!F81</f>
        <v>0</v>
      </c>
      <c r="F8" s="154">
        <f>CEIResumida!G81</f>
        <v>0</v>
      </c>
      <c r="G8" s="152">
        <f>CEIResumida!H81</f>
        <v>0</v>
      </c>
      <c r="H8" s="154">
        <f>SimulTRU2!S56</f>
        <v>140274.00000000009</v>
      </c>
      <c r="I8" s="153">
        <f>CEIResumida!J81</f>
        <v>0</v>
      </c>
      <c r="J8" s="154">
        <f>SimulTRU2!W56-SimulTRU2!S56</f>
        <v>2391687.0000000009</v>
      </c>
      <c r="K8" s="153">
        <f>CEIResumida!L81</f>
        <v>0</v>
      </c>
      <c r="L8" s="154">
        <f>CEIResumida!M81</f>
        <v>0</v>
      </c>
      <c r="M8" s="158">
        <f>C8+E8+G8+I8+K8-L8-J8-H8-F8-D8</f>
        <v>-8.7311491370201111E-11</v>
      </c>
      <c r="R8" s="248">
        <v>241683</v>
      </c>
      <c r="S8" s="248">
        <v>230</v>
      </c>
      <c r="T8" s="248"/>
      <c r="U8" s="248">
        <f>$U$20*ParâmeetrosTRU!AB39</f>
        <v>212694.00000000015</v>
      </c>
      <c r="V8" s="248">
        <v>22310</v>
      </c>
      <c r="W8" s="248">
        <v>-2694</v>
      </c>
      <c r="X8" s="248">
        <f>R8+S8+V8+W8</f>
        <v>261529</v>
      </c>
      <c r="Y8" s="248">
        <f>U8</f>
        <v>212694.00000000015</v>
      </c>
      <c r="Z8" s="248">
        <f>X8+Y8</f>
        <v>474223.00000000012</v>
      </c>
      <c r="AA8" s="248">
        <f>SimulTRU2!CH39</f>
        <v>938989.00000000012</v>
      </c>
      <c r="AB8" s="248">
        <f>SimulTRU2!CK39</f>
        <v>464766.00000000023</v>
      </c>
      <c r="AC8" s="139"/>
      <c r="AD8" s="231">
        <f>IFERROR(R8/R47-1,0)</f>
        <v>0</v>
      </c>
      <c r="AE8" s="231">
        <f t="shared" ref="AE8:AM20" si="0">IFERROR(S8/S47-1,0)</f>
        <v>0</v>
      </c>
      <c r="AF8" s="231">
        <f t="shared" si="0"/>
        <v>0</v>
      </c>
      <c r="AG8" s="231">
        <f t="shared" si="0"/>
        <v>4.4408920985006262E-16</v>
      </c>
      <c r="AH8" s="231">
        <f t="shared" si="0"/>
        <v>0</v>
      </c>
      <c r="AI8" s="231">
        <f t="shared" si="0"/>
        <v>0</v>
      </c>
      <c r="AJ8" s="231">
        <f t="shared" si="0"/>
        <v>0</v>
      </c>
      <c r="AK8" s="231">
        <f t="shared" si="0"/>
        <v>6.6613381477509392E-16</v>
      </c>
      <c r="AL8" s="231">
        <f t="shared" si="0"/>
        <v>2.2204460492503131E-16</v>
      </c>
      <c r="AM8" s="231">
        <f t="shared" si="0"/>
        <v>2.2204460492503131E-16</v>
      </c>
    </row>
    <row r="9" spans="1:39">
      <c r="A9" s="367"/>
      <c r="B9" s="133" t="s">
        <v>28</v>
      </c>
      <c r="C9" s="234">
        <f>SimulTRU2!W57</f>
        <v>562617.00000000023</v>
      </c>
      <c r="D9" s="235">
        <f>CEIResumida!E82</f>
        <v>0</v>
      </c>
      <c r="E9" s="155">
        <f>CEIResumida!F82</f>
        <v>0</v>
      </c>
      <c r="F9" s="157">
        <f>CEIResumida!G82</f>
        <v>0</v>
      </c>
      <c r="G9" s="155">
        <f>CEIResumida!H82</f>
        <v>0</v>
      </c>
      <c r="H9" s="157">
        <f>SimulTRU2!S57</f>
        <v>41011.000000000029</v>
      </c>
      <c r="I9" s="156">
        <f>CEIResumida!J82</f>
        <v>0</v>
      </c>
      <c r="J9" s="157">
        <f>SimulTRU2!W57-SimulTRU2!S57</f>
        <v>521606.00000000023</v>
      </c>
      <c r="K9" s="156">
        <f>CEIResumida!L82</f>
        <v>0</v>
      </c>
      <c r="L9" s="157">
        <f>CEIResumida!M82</f>
        <v>0</v>
      </c>
      <c r="M9" s="158">
        <f t="shared" ref="M9:M29" si="1">C9+E9+G9+I9+K9-L9-J9-H9-F9-D9</f>
        <v>-2.9103830456733704E-11</v>
      </c>
      <c r="R9" s="248">
        <f>253114</f>
        <v>253114</v>
      </c>
      <c r="S9" s="248">
        <v>0</v>
      </c>
      <c r="T9" s="248"/>
      <c r="U9" s="248">
        <f>$U$20*ParâmeetrosTRU!AB40</f>
        <v>0</v>
      </c>
      <c r="V9" s="248">
        <v>10455</v>
      </c>
      <c r="W9" s="248">
        <v>-27501</v>
      </c>
      <c r="X9" s="248">
        <f t="shared" ref="X9:X19" si="2">R9+S9+V9+W9</f>
        <v>236068</v>
      </c>
      <c r="Y9" s="248">
        <f t="shared" ref="Y9:Y19" si="3">U9</f>
        <v>0</v>
      </c>
      <c r="Z9" s="248">
        <f t="shared" ref="Z9:Z19" si="4">X9+Y9</f>
        <v>236068</v>
      </c>
      <c r="AA9" s="248">
        <f>SimulTRU2!CH40</f>
        <v>474641.00000000006</v>
      </c>
      <c r="AB9" s="248">
        <f>SimulTRU2!CK40</f>
        <v>238573.00000000009</v>
      </c>
      <c r="AC9" s="139"/>
      <c r="AD9" s="231">
        <f t="shared" ref="AD9:AD20" si="5">IFERROR(R9/R48-1,0)</f>
        <v>0</v>
      </c>
      <c r="AE9" s="231">
        <f t="shared" si="0"/>
        <v>0</v>
      </c>
      <c r="AF9" s="231">
        <f t="shared" si="0"/>
        <v>0</v>
      </c>
      <c r="AG9" s="231">
        <f t="shared" si="0"/>
        <v>0</v>
      </c>
      <c r="AH9" s="231">
        <f t="shared" si="0"/>
        <v>0</v>
      </c>
      <c r="AI9" s="231">
        <f t="shared" si="0"/>
        <v>0</v>
      </c>
      <c r="AJ9" s="231">
        <f t="shared" si="0"/>
        <v>0</v>
      </c>
      <c r="AK9" s="231">
        <f t="shared" si="0"/>
        <v>0</v>
      </c>
      <c r="AL9" s="231">
        <f t="shared" si="0"/>
        <v>0</v>
      </c>
      <c r="AM9" s="231">
        <f t="shared" si="0"/>
        <v>2.2204460492503131E-16</v>
      </c>
    </row>
    <row r="10" spans="1:39">
      <c r="A10" s="367"/>
      <c r="B10" s="133" t="s">
        <v>542</v>
      </c>
      <c r="C10" s="234">
        <f>CEIResumida!D83</f>
        <v>0</v>
      </c>
      <c r="D10" s="235">
        <f>CEIResumida!E83</f>
        <v>0</v>
      </c>
      <c r="E10" s="155">
        <f>CEIResumida!F83</f>
        <v>0</v>
      </c>
      <c r="F10" s="157">
        <f>CEIResumida!G83</f>
        <v>0</v>
      </c>
      <c r="G10" s="155">
        <f>CEIResumida!H83</f>
        <v>0</v>
      </c>
      <c r="H10" s="157">
        <f>CEIResumida!I83</f>
        <v>0</v>
      </c>
      <c r="I10" s="156">
        <f>CEIResumida!J83</f>
        <v>0</v>
      </c>
      <c r="J10" s="157">
        <f>CEIResumida!K83</f>
        <v>0</v>
      </c>
      <c r="K10" s="156">
        <f>CEIResumida!L83</f>
        <v>0</v>
      </c>
      <c r="L10" s="157">
        <f>CEIResumida!M83</f>
        <v>0</v>
      </c>
      <c r="M10" s="158">
        <f t="shared" si="1"/>
        <v>0</v>
      </c>
      <c r="R10" s="248">
        <f>611468*1</f>
        <v>611468</v>
      </c>
      <c r="S10" s="248">
        <v>9716</v>
      </c>
      <c r="T10" s="248"/>
      <c r="U10" s="248">
        <f>$U$20*ParâmeetrosTRU!AB41</f>
        <v>2148705.0000000014</v>
      </c>
      <c r="V10" s="248">
        <v>523356</v>
      </c>
      <c r="W10" s="248">
        <v>-2168</v>
      </c>
      <c r="X10" s="248">
        <f t="shared" si="2"/>
        <v>1142372</v>
      </c>
      <c r="Y10" s="248">
        <f t="shared" si="3"/>
        <v>2148705.0000000014</v>
      </c>
      <c r="Z10" s="248">
        <f t="shared" si="4"/>
        <v>3291077.0000000014</v>
      </c>
      <c r="AA10" s="248">
        <f>SimulTRU2!CH41</f>
        <v>6468662.0000000028</v>
      </c>
      <c r="AB10" s="248">
        <f>SimulTRU2!CK41</f>
        <v>3177585.0000000014</v>
      </c>
      <c r="AC10" s="139"/>
      <c r="AD10" s="231">
        <f t="shared" si="5"/>
        <v>0</v>
      </c>
      <c r="AE10" s="231">
        <f t="shared" si="0"/>
        <v>0</v>
      </c>
      <c r="AF10" s="231">
        <f t="shared" si="0"/>
        <v>0</v>
      </c>
      <c r="AG10" s="231">
        <f t="shared" si="0"/>
        <v>6.6613381477509392E-16</v>
      </c>
      <c r="AH10" s="231">
        <f t="shared" si="0"/>
        <v>0</v>
      </c>
      <c r="AI10" s="231">
        <f t="shared" si="0"/>
        <v>0</v>
      </c>
      <c r="AJ10" s="231">
        <f t="shared" si="0"/>
        <v>0</v>
      </c>
      <c r="AK10" s="231">
        <f t="shared" si="0"/>
        <v>6.6613381477509392E-16</v>
      </c>
      <c r="AL10" s="231">
        <f t="shared" si="0"/>
        <v>4.4408920985006262E-16</v>
      </c>
      <c r="AM10" s="231">
        <f t="shared" si="0"/>
        <v>6.6613381477509392E-16</v>
      </c>
    </row>
    <row r="11" spans="1:39">
      <c r="A11" s="367"/>
      <c r="B11" s="134" t="s">
        <v>19</v>
      </c>
      <c r="C11" s="234">
        <f>CEIResumida!D84</f>
        <v>0</v>
      </c>
      <c r="D11" s="235">
        <f>CEIResumida!E84</f>
        <v>0</v>
      </c>
      <c r="E11" s="155">
        <f>CEIResumida!F84</f>
        <v>1014660</v>
      </c>
      <c r="F11" s="157">
        <f>CEIResumida!G84</f>
        <v>0</v>
      </c>
      <c r="G11" s="155">
        <f>CEIResumida!H84</f>
        <v>0</v>
      </c>
      <c r="H11" s="157">
        <f>SimulTRU2!I19</f>
        <v>67488.000000000044</v>
      </c>
      <c r="I11" s="156">
        <f>CEIResumida!J84</f>
        <v>0</v>
      </c>
      <c r="J11" s="157">
        <f>SimulTRU2!I24-SimulTRU2!I19</f>
        <v>947172.00000000035</v>
      </c>
      <c r="K11" s="156">
        <f>CEIResumida!L84</f>
        <v>0</v>
      </c>
      <c r="L11" s="157">
        <f>CEIResumida!M84</f>
        <v>0</v>
      </c>
      <c r="M11" s="158">
        <f t="shared" si="1"/>
        <v>-3.92901711165905E-10</v>
      </c>
      <c r="R11" s="248">
        <v>2</v>
      </c>
      <c r="S11" s="248">
        <v>0</v>
      </c>
      <c r="T11" s="248"/>
      <c r="U11" s="248">
        <f>$U$20*ParâmeetrosTRU!AB42</f>
        <v>186576.00000000012</v>
      </c>
      <c r="V11" s="248">
        <v>0</v>
      </c>
      <c r="W11" s="248">
        <v>-60</v>
      </c>
      <c r="X11" s="248">
        <f t="shared" si="2"/>
        <v>-58</v>
      </c>
      <c r="Y11" s="248">
        <f t="shared" si="3"/>
        <v>186576.00000000012</v>
      </c>
      <c r="Z11" s="248">
        <f t="shared" si="4"/>
        <v>186518.00000000012</v>
      </c>
      <c r="AA11" s="248">
        <f>SimulTRU2!CH42</f>
        <v>532996.00000000012</v>
      </c>
      <c r="AB11" s="248">
        <f>SimulTRU2!CK42</f>
        <v>346478.00000000012</v>
      </c>
      <c r="AC11" s="139"/>
      <c r="AD11" s="231">
        <f t="shared" si="5"/>
        <v>0</v>
      </c>
      <c r="AE11" s="231">
        <f t="shared" si="0"/>
        <v>0</v>
      </c>
      <c r="AF11" s="231">
        <f t="shared" si="0"/>
        <v>0</v>
      </c>
      <c r="AG11" s="231">
        <f t="shared" si="0"/>
        <v>6.6613381477509392E-16</v>
      </c>
      <c r="AH11" s="231">
        <f t="shared" si="0"/>
        <v>0</v>
      </c>
      <c r="AI11" s="231">
        <f t="shared" si="0"/>
        <v>0</v>
      </c>
      <c r="AJ11" s="231">
        <f t="shared" si="0"/>
        <v>0</v>
      </c>
      <c r="AK11" s="231">
        <f t="shared" si="0"/>
        <v>6.6613381477509392E-16</v>
      </c>
      <c r="AL11" s="231">
        <f t="shared" si="0"/>
        <v>6.6613381477509392E-16</v>
      </c>
      <c r="AM11" s="231">
        <f t="shared" si="0"/>
        <v>6.6613381477509392E-16</v>
      </c>
    </row>
    <row r="12" spans="1:39" ht="16.5">
      <c r="A12" s="367"/>
      <c r="B12" s="135" t="s">
        <v>34</v>
      </c>
      <c r="C12" s="241">
        <f>CEIResumida!D85</f>
        <v>0</v>
      </c>
      <c r="D12" s="239">
        <f>CEIResumida!E85</f>
        <v>0</v>
      </c>
      <c r="E12" s="166">
        <f>CEIResumida!F85</f>
        <v>86391</v>
      </c>
      <c r="F12" s="168">
        <f>CEIResumida!G85</f>
        <v>0</v>
      </c>
      <c r="G12" s="166">
        <f>CEIResumida!H85</f>
        <v>0</v>
      </c>
      <c r="H12" s="168">
        <f>SimulTRU2!S64</f>
        <v>9262.0000000000073</v>
      </c>
      <c r="I12" s="167">
        <f>CEIResumida!J85</f>
        <v>0</v>
      </c>
      <c r="J12" s="168">
        <f>SimulTRU2!W64-SimulTRU2!S64</f>
        <v>77129.000000000058</v>
      </c>
      <c r="K12" s="167">
        <f>CEIResumida!L85</f>
        <v>0</v>
      </c>
      <c r="L12" s="168">
        <f>CEIResumida!M85</f>
        <v>0</v>
      </c>
      <c r="M12" s="158">
        <f t="shared" si="1"/>
        <v>-6.5483618527650833E-11</v>
      </c>
      <c r="R12" s="248">
        <v>3481</v>
      </c>
      <c r="S12" s="248">
        <v>0</v>
      </c>
      <c r="T12" s="248"/>
      <c r="U12" s="248">
        <f>$U$20*ParâmeetrosTRU!AB43</f>
        <v>0</v>
      </c>
      <c r="V12" s="248">
        <v>556609</v>
      </c>
      <c r="W12" s="248">
        <v>0</v>
      </c>
      <c r="X12" s="248">
        <f t="shared" si="2"/>
        <v>560090</v>
      </c>
      <c r="Y12" s="248">
        <f t="shared" si="3"/>
        <v>0</v>
      </c>
      <c r="Z12" s="248">
        <f t="shared" si="4"/>
        <v>560090</v>
      </c>
      <c r="AA12" s="248">
        <f>SimulTRU2!CH43</f>
        <v>683263.99999999988</v>
      </c>
      <c r="AB12" s="248">
        <f>SimulTRU2!CK43</f>
        <v>123174</v>
      </c>
      <c r="AC12" s="139"/>
      <c r="AD12" s="231">
        <f t="shared" si="5"/>
        <v>0</v>
      </c>
      <c r="AE12" s="231">
        <f t="shared" si="0"/>
        <v>0</v>
      </c>
      <c r="AF12" s="231">
        <f t="shared" si="0"/>
        <v>0</v>
      </c>
      <c r="AG12" s="231">
        <f t="shared" si="0"/>
        <v>0</v>
      </c>
      <c r="AH12" s="231">
        <f t="shared" si="0"/>
        <v>0</v>
      </c>
      <c r="AI12" s="231">
        <f t="shared" si="0"/>
        <v>0</v>
      </c>
      <c r="AJ12" s="231">
        <f t="shared" si="0"/>
        <v>0</v>
      </c>
      <c r="AK12" s="231">
        <f t="shared" si="0"/>
        <v>0</v>
      </c>
      <c r="AL12" s="231">
        <f t="shared" si="0"/>
        <v>0</v>
      </c>
      <c r="AM12" s="231">
        <f t="shared" si="0"/>
        <v>-6.6613381477509392E-16</v>
      </c>
    </row>
    <row r="13" spans="1:39">
      <c r="A13" s="367" t="s">
        <v>556</v>
      </c>
      <c r="B13" s="132" t="s">
        <v>40</v>
      </c>
      <c r="C13" s="240">
        <f>CEIResumida!D86</f>
        <v>249546</v>
      </c>
      <c r="D13" s="238">
        <f>CEIResumida!E86</f>
        <v>205143</v>
      </c>
      <c r="E13" s="152">
        <f>CEIResumida!F86</f>
        <v>191053</v>
      </c>
      <c r="F13" s="154">
        <f>CEIResumida!G86</f>
        <v>446981</v>
      </c>
      <c r="G13" s="152">
        <f>CEIResumida!H86</f>
        <v>1235025</v>
      </c>
      <c r="H13" s="154">
        <f>CEIResumida!I86</f>
        <v>1060460</v>
      </c>
      <c r="I13" s="152">
        <f>CEIResumida!J86</f>
        <v>246213</v>
      </c>
      <c r="J13" s="154">
        <f>CEIResumida!K86</f>
        <v>282899</v>
      </c>
      <c r="K13" s="153">
        <f>CEIResumida!L86</f>
        <v>106219</v>
      </c>
      <c r="L13" s="154">
        <f>CEIResumida!M86</f>
        <v>32573</v>
      </c>
      <c r="M13" s="158">
        <f t="shared" si="1"/>
        <v>0</v>
      </c>
      <c r="R13" s="248">
        <v>4676</v>
      </c>
      <c r="S13" s="248">
        <v>0</v>
      </c>
      <c r="T13" s="248"/>
      <c r="U13" s="248">
        <f>$U$20*ParâmeetrosTRU!AB44</f>
        <v>55912.000000000036</v>
      </c>
      <c r="V13" s="248">
        <v>0</v>
      </c>
      <c r="W13" s="248">
        <v>0</v>
      </c>
      <c r="X13" s="248">
        <f t="shared" si="2"/>
        <v>4676</v>
      </c>
      <c r="Y13" s="248">
        <f t="shared" si="3"/>
        <v>55912.000000000036</v>
      </c>
      <c r="Z13" s="248">
        <f t="shared" si="4"/>
        <v>60588.000000000036</v>
      </c>
      <c r="AA13" s="248">
        <f>SimulTRU2!CH44</f>
        <v>140737.00000000023</v>
      </c>
      <c r="AB13" s="248">
        <f>SimulTRU2!CK44</f>
        <v>80149.000000000044</v>
      </c>
      <c r="AC13" s="139"/>
      <c r="AD13" s="231">
        <f t="shared" si="5"/>
        <v>0</v>
      </c>
      <c r="AE13" s="231">
        <f t="shared" si="0"/>
        <v>0</v>
      </c>
      <c r="AF13" s="231">
        <f t="shared" si="0"/>
        <v>0</v>
      </c>
      <c r="AG13" s="231">
        <f t="shared" si="0"/>
        <v>6.6613381477509392E-16</v>
      </c>
      <c r="AH13" s="231">
        <f t="shared" si="0"/>
        <v>0</v>
      </c>
      <c r="AI13" s="231">
        <f t="shared" si="0"/>
        <v>0</v>
      </c>
      <c r="AJ13" s="231">
        <f t="shared" si="0"/>
        <v>0</v>
      </c>
      <c r="AK13" s="231">
        <f t="shared" si="0"/>
        <v>6.6613381477509392E-16</v>
      </c>
      <c r="AL13" s="231">
        <f t="shared" si="0"/>
        <v>6.6613381477509392E-16</v>
      </c>
      <c r="AM13" s="231">
        <f t="shared" si="0"/>
        <v>1.9984014443252818E-15</v>
      </c>
    </row>
    <row r="14" spans="1:39">
      <c r="A14" s="367"/>
      <c r="B14" s="133" t="s">
        <v>408</v>
      </c>
      <c r="C14" s="234">
        <f>CEIResumida!D87</f>
        <v>1888670</v>
      </c>
      <c r="D14" s="235">
        <f>CEIResumida!E87</f>
        <v>0</v>
      </c>
      <c r="E14" s="155">
        <f>CEIResumida!F87</f>
        <v>0</v>
      </c>
      <c r="F14" s="157">
        <f>CEIResumida!G87</f>
        <v>0</v>
      </c>
      <c r="G14" s="155">
        <f>CEIResumida!H87</f>
        <v>0</v>
      </c>
      <c r="H14" s="157">
        <f>CEIResumida!I87</f>
        <v>153250</v>
      </c>
      <c r="I14" s="155">
        <f>CEIResumida!J87</f>
        <v>0</v>
      </c>
      <c r="J14" s="157">
        <f>CEIResumida!K87</f>
        <v>1821126</v>
      </c>
      <c r="K14" s="156">
        <f>CEIResumida!L87</f>
        <v>85706</v>
      </c>
      <c r="L14" s="157">
        <f>CEIResumida!M87</f>
        <v>0</v>
      </c>
      <c r="M14" s="158">
        <f t="shared" si="1"/>
        <v>0</v>
      </c>
      <c r="R14" s="248">
        <v>34419</v>
      </c>
      <c r="S14" s="248">
        <v>0</v>
      </c>
      <c r="T14" s="248"/>
      <c r="U14" s="248">
        <f>$U$20*ParâmeetrosTRU!AB45</f>
        <v>109783.00000000007</v>
      </c>
      <c r="V14" s="248">
        <v>0</v>
      </c>
      <c r="W14" s="248">
        <v>0</v>
      </c>
      <c r="X14" s="248">
        <f t="shared" si="2"/>
        <v>34419</v>
      </c>
      <c r="Y14" s="248">
        <f t="shared" si="3"/>
        <v>109783.00000000007</v>
      </c>
      <c r="Z14" s="248">
        <f t="shared" si="4"/>
        <v>144202.00000000006</v>
      </c>
      <c r="AA14" s="248">
        <f>SimulTRU2!CH45</f>
        <v>568288.00000000035</v>
      </c>
      <c r="AB14" s="248">
        <f>SimulTRU2!CK45</f>
        <v>424086.00000000023</v>
      </c>
      <c r="AC14" s="139"/>
      <c r="AD14" s="231">
        <f t="shared" si="5"/>
        <v>0</v>
      </c>
      <c r="AE14" s="231">
        <f t="shared" si="0"/>
        <v>0</v>
      </c>
      <c r="AF14" s="231">
        <f t="shared" si="0"/>
        <v>0</v>
      </c>
      <c r="AG14" s="231">
        <f t="shared" si="0"/>
        <v>6.6613381477509392E-16</v>
      </c>
      <c r="AH14" s="231">
        <f t="shared" si="0"/>
        <v>0</v>
      </c>
      <c r="AI14" s="231">
        <f t="shared" si="0"/>
        <v>0</v>
      </c>
      <c r="AJ14" s="231">
        <f t="shared" si="0"/>
        <v>0</v>
      </c>
      <c r="AK14" s="231">
        <f t="shared" si="0"/>
        <v>6.6613381477509392E-16</v>
      </c>
      <c r="AL14" s="231">
        <f t="shared" si="0"/>
        <v>4.4408920985006262E-16</v>
      </c>
      <c r="AM14" s="231">
        <f t="shared" si="0"/>
        <v>1.1102230246251565E-15</v>
      </c>
    </row>
    <row r="15" spans="1:39">
      <c r="A15" s="367"/>
      <c r="B15" s="133" t="s">
        <v>392</v>
      </c>
      <c r="C15" s="234">
        <f>CEIResumida!D88</f>
        <v>0</v>
      </c>
      <c r="D15" s="235">
        <f>CEIResumida!E88</f>
        <v>0</v>
      </c>
      <c r="E15" s="155">
        <f>CEIResumida!F88</f>
        <v>0</v>
      </c>
      <c r="F15" s="157">
        <f>CEIResumida!G88</f>
        <v>0</v>
      </c>
      <c r="G15" s="155">
        <f>CEIResumida!H88</f>
        <v>0</v>
      </c>
      <c r="H15" s="157">
        <f>CEIResumida!I88</f>
        <v>0</v>
      </c>
      <c r="I15" s="155">
        <f>CEIResumida!J88</f>
        <v>0</v>
      </c>
      <c r="J15" s="157">
        <f>CEIResumida!K88</f>
        <v>0</v>
      </c>
      <c r="K15" s="156">
        <f>CEIResumida!L88</f>
        <v>0</v>
      </c>
      <c r="L15" s="157">
        <f>CEIResumida!M88</f>
        <v>0</v>
      </c>
      <c r="M15" s="158">
        <f t="shared" si="1"/>
        <v>0</v>
      </c>
      <c r="R15" s="248">
        <v>15282</v>
      </c>
      <c r="S15" s="248">
        <v>0</v>
      </c>
      <c r="T15" s="248"/>
      <c r="U15" s="248">
        <f>$U$20*ParâmeetrosTRU!AB46</f>
        <v>152610.00000000009</v>
      </c>
      <c r="V15" s="248">
        <v>100913</v>
      </c>
      <c r="W15" s="248">
        <v>-1455</v>
      </c>
      <c r="X15" s="248">
        <f t="shared" si="2"/>
        <v>114740</v>
      </c>
      <c r="Y15" s="248">
        <f t="shared" si="3"/>
        <v>152610.00000000009</v>
      </c>
      <c r="Z15" s="248">
        <f t="shared" si="4"/>
        <v>267350.00000000012</v>
      </c>
      <c r="AA15" s="248">
        <f>SimulTRU2!CH46</f>
        <v>535541.00000000035</v>
      </c>
      <c r="AB15" s="248">
        <f>SimulTRU2!CK46</f>
        <v>268191.00000000017</v>
      </c>
      <c r="AC15" s="139"/>
      <c r="AD15" s="231">
        <f t="shared" si="5"/>
        <v>0</v>
      </c>
      <c r="AE15" s="231">
        <f t="shared" si="0"/>
        <v>0</v>
      </c>
      <c r="AF15" s="231">
        <f t="shared" si="0"/>
        <v>0</v>
      </c>
      <c r="AG15" s="231">
        <f t="shared" si="0"/>
        <v>6.6613381477509392E-16</v>
      </c>
      <c r="AH15" s="231">
        <f t="shared" si="0"/>
        <v>0</v>
      </c>
      <c r="AI15" s="231">
        <f t="shared" si="0"/>
        <v>0</v>
      </c>
      <c r="AJ15" s="231">
        <f t="shared" si="0"/>
        <v>0</v>
      </c>
      <c r="AK15" s="231">
        <f t="shared" si="0"/>
        <v>6.6613381477509392E-16</v>
      </c>
      <c r="AL15" s="231">
        <f t="shared" si="0"/>
        <v>4.4408920985006262E-16</v>
      </c>
      <c r="AM15" s="231">
        <f t="shared" si="0"/>
        <v>8.8817841970012523E-16</v>
      </c>
    </row>
    <row r="16" spans="1:39">
      <c r="A16" s="367"/>
      <c r="B16" s="133" t="s">
        <v>401</v>
      </c>
      <c r="C16" s="234">
        <f>CEIResumida!D89</f>
        <v>0</v>
      </c>
      <c r="D16" s="235">
        <f>CEIResumida!E89</f>
        <v>0</v>
      </c>
      <c r="E16" s="155">
        <f>CEIResumida!F89</f>
        <v>0</v>
      </c>
      <c r="F16" s="157">
        <f>CEIResumida!G89</f>
        <v>0</v>
      </c>
      <c r="G16" s="155">
        <f>CEIResumida!H89</f>
        <v>0</v>
      </c>
      <c r="H16" s="157">
        <f>CEIResumida!I89</f>
        <v>0</v>
      </c>
      <c r="I16" s="155">
        <f>CEIResumida!J89</f>
        <v>0</v>
      </c>
      <c r="J16" s="157">
        <f>CEIResumida!K89</f>
        <v>0</v>
      </c>
      <c r="K16" s="156">
        <f>CEIResumida!L89</f>
        <v>0</v>
      </c>
      <c r="L16" s="157">
        <f>CEIResumida!M89</f>
        <v>0</v>
      </c>
      <c r="M16" s="158">
        <f t="shared" si="1"/>
        <v>0</v>
      </c>
      <c r="R16" s="248">
        <v>6943</v>
      </c>
      <c r="S16" s="248">
        <v>2165</v>
      </c>
      <c r="T16" s="248"/>
      <c r="U16" s="248">
        <f>$U$20*ParâmeetrosTRU!AB47</f>
        <v>379659.00000000023</v>
      </c>
      <c r="V16" s="248">
        <v>0</v>
      </c>
      <c r="W16" s="248">
        <v>0</v>
      </c>
      <c r="X16" s="248">
        <f t="shared" si="2"/>
        <v>9108</v>
      </c>
      <c r="Y16" s="248">
        <f t="shared" si="3"/>
        <v>379659.00000000023</v>
      </c>
      <c r="Z16" s="248">
        <f t="shared" si="4"/>
        <v>388767.00000000023</v>
      </c>
      <c r="AA16" s="248">
        <f>SimulTRU2!CH47</f>
        <v>800076.00000000047</v>
      </c>
      <c r="AB16" s="248">
        <f>SimulTRU2!CK47</f>
        <v>411309.00000000017</v>
      </c>
      <c r="AC16" s="139"/>
      <c r="AD16" s="231">
        <f t="shared" si="5"/>
        <v>0</v>
      </c>
      <c r="AE16" s="231">
        <f t="shared" si="0"/>
        <v>0</v>
      </c>
      <c r="AF16" s="231">
        <f t="shared" si="0"/>
        <v>0</v>
      </c>
      <c r="AG16" s="231">
        <f t="shared" si="0"/>
        <v>6.6613381477509392E-16</v>
      </c>
      <c r="AH16" s="231">
        <f t="shared" si="0"/>
        <v>0</v>
      </c>
      <c r="AI16" s="231">
        <f t="shared" si="0"/>
        <v>0</v>
      </c>
      <c r="AJ16" s="231">
        <f t="shared" si="0"/>
        <v>0</v>
      </c>
      <c r="AK16" s="231">
        <f t="shared" si="0"/>
        <v>6.6613381477509392E-16</v>
      </c>
      <c r="AL16" s="231">
        <f t="shared" si="0"/>
        <v>6.6613381477509392E-16</v>
      </c>
      <c r="AM16" s="231">
        <f t="shared" si="0"/>
        <v>8.8817841970012523E-16</v>
      </c>
    </row>
    <row r="17" spans="1:39">
      <c r="A17" s="367"/>
      <c r="B17" s="243" t="s">
        <v>288</v>
      </c>
      <c r="C17" s="241">
        <f>CEIResumida!D90</f>
        <v>0</v>
      </c>
      <c r="D17" s="239">
        <f>CEIResumida!E90</f>
        <v>0</v>
      </c>
      <c r="E17" s="166">
        <f>CEIResumida!F90</f>
        <v>0</v>
      </c>
      <c r="F17" s="168">
        <f>CEIResumida!G90</f>
        <v>0</v>
      </c>
      <c r="G17" s="166">
        <f>CEIResumida!H90</f>
        <v>0</v>
      </c>
      <c r="H17" s="168">
        <f>CEIResumida!I90</f>
        <v>0</v>
      </c>
      <c r="I17" s="166">
        <f>CEIResumida!J90</f>
        <v>0</v>
      </c>
      <c r="J17" s="168">
        <f>CEIResumida!K90</f>
        <v>0</v>
      </c>
      <c r="K17" s="167">
        <f>CEIResumida!L90</f>
        <v>0</v>
      </c>
      <c r="L17" s="168">
        <f>CEIResumida!M90</f>
        <v>0</v>
      </c>
      <c r="M17" s="158">
        <f t="shared" si="1"/>
        <v>0</v>
      </c>
      <c r="R17" s="248">
        <v>4688</v>
      </c>
      <c r="S17" s="248">
        <v>0</v>
      </c>
      <c r="T17" s="248"/>
      <c r="U17" s="248">
        <f>$U$20*ParâmeetrosTRU!AB48</f>
        <v>643203.00000000035</v>
      </c>
      <c r="V17" s="248">
        <v>0</v>
      </c>
      <c r="W17" s="248">
        <v>0</v>
      </c>
      <c r="X17" s="248">
        <f t="shared" si="2"/>
        <v>4688</v>
      </c>
      <c r="Y17" s="248">
        <f t="shared" si="3"/>
        <v>643203.00000000035</v>
      </c>
      <c r="Z17" s="248">
        <f t="shared" si="4"/>
        <v>647891.00000000035</v>
      </c>
      <c r="AA17" s="248">
        <f>SimulTRU2!CH48</f>
        <v>793035.00000000047</v>
      </c>
      <c r="AB17" s="248">
        <f>SimulTRU2!CK48</f>
        <v>145144.00000000012</v>
      </c>
      <c r="AC17" s="139"/>
      <c r="AD17" s="231">
        <f t="shared" si="5"/>
        <v>0</v>
      </c>
      <c r="AE17" s="231">
        <f t="shared" si="0"/>
        <v>0</v>
      </c>
      <c r="AF17" s="231">
        <f t="shared" si="0"/>
        <v>0</v>
      </c>
      <c r="AG17" s="231">
        <f t="shared" si="0"/>
        <v>4.4408920985006262E-16</v>
      </c>
      <c r="AH17" s="231">
        <f t="shared" si="0"/>
        <v>0</v>
      </c>
      <c r="AI17" s="231">
        <f t="shared" si="0"/>
        <v>0</v>
      </c>
      <c r="AJ17" s="231">
        <f t="shared" si="0"/>
        <v>0</v>
      </c>
      <c r="AK17" s="231">
        <f t="shared" si="0"/>
        <v>4.4408920985006262E-16</v>
      </c>
      <c r="AL17" s="231">
        <f t="shared" si="0"/>
        <v>4.4408920985006262E-16</v>
      </c>
      <c r="AM17" s="231">
        <f t="shared" si="0"/>
        <v>4.4408920985006262E-16</v>
      </c>
    </row>
    <row r="18" spans="1:39" ht="16.5">
      <c r="A18" s="367" t="s">
        <v>553</v>
      </c>
      <c r="B18" s="159" t="s">
        <v>453</v>
      </c>
      <c r="C18" s="234">
        <f>CEIResumida!D91</f>
        <v>0</v>
      </c>
      <c r="D18" s="235">
        <f>CEIResumida!E91</f>
        <v>362776</v>
      </c>
      <c r="E18" s="155">
        <f>CEIResumida!F91</f>
        <v>917257</v>
      </c>
      <c r="F18" s="157">
        <f>CEIResumida!G91</f>
        <v>0</v>
      </c>
      <c r="G18" s="155">
        <f>CEIResumida!H91</f>
        <v>0</v>
      </c>
      <c r="H18" s="235">
        <f>CEIResumida!I91</f>
        <v>42715</v>
      </c>
      <c r="I18" s="155">
        <f>CEIResumida!J91</f>
        <v>0</v>
      </c>
      <c r="J18" s="235">
        <f>CEIResumida!K91</f>
        <v>511766</v>
      </c>
      <c r="K18" s="156">
        <f>CEIResumida!L91</f>
        <v>0</v>
      </c>
      <c r="L18" s="157">
        <f>CEIResumida!M91</f>
        <v>0</v>
      </c>
      <c r="M18" s="158">
        <f t="shared" si="1"/>
        <v>0</v>
      </c>
      <c r="R18" s="248">
        <v>76293</v>
      </c>
      <c r="S18" s="248">
        <f>54812*1</f>
        <v>54812</v>
      </c>
      <c r="T18" s="248"/>
      <c r="U18" s="248">
        <f>$U$20*ParâmeetrosTRU!AB49</f>
        <v>915862.00000000058</v>
      </c>
      <c r="V18" s="248">
        <v>46584</v>
      </c>
      <c r="W18" s="248">
        <v>0</v>
      </c>
      <c r="X18" s="248">
        <f t="shared" si="2"/>
        <v>177689</v>
      </c>
      <c r="Y18" s="248">
        <f t="shared" si="3"/>
        <v>915862.00000000058</v>
      </c>
      <c r="Z18" s="248">
        <f t="shared" si="4"/>
        <v>1093551.0000000005</v>
      </c>
      <c r="AA18" s="248">
        <f>SimulTRU2!CH49</f>
        <v>2125358.0000000014</v>
      </c>
      <c r="AB18" s="248">
        <f>SimulTRU2!CK49</f>
        <v>1031807.0000000006</v>
      </c>
      <c r="AC18" s="139"/>
      <c r="AD18" s="231">
        <f t="shared" si="5"/>
        <v>0</v>
      </c>
      <c r="AE18" s="231">
        <f t="shared" si="0"/>
        <v>0</v>
      </c>
      <c r="AF18" s="231">
        <f t="shared" si="0"/>
        <v>0</v>
      </c>
      <c r="AG18" s="231">
        <f t="shared" si="0"/>
        <v>6.6613381477509392E-16</v>
      </c>
      <c r="AH18" s="231">
        <f t="shared" si="0"/>
        <v>0</v>
      </c>
      <c r="AI18" s="231">
        <f t="shared" si="0"/>
        <v>0</v>
      </c>
      <c r="AJ18" s="231">
        <f t="shared" si="0"/>
        <v>0</v>
      </c>
      <c r="AK18" s="231">
        <f t="shared" si="0"/>
        <v>6.6613381477509392E-16</v>
      </c>
      <c r="AL18" s="231">
        <f t="shared" si="0"/>
        <v>4.4408920985006262E-16</v>
      </c>
      <c r="AM18" s="231">
        <f t="shared" si="0"/>
        <v>6.6613381477509392E-16</v>
      </c>
    </row>
    <row r="19" spans="1:39" ht="9" thickBot="1">
      <c r="A19" s="367"/>
      <c r="B19" s="134" t="s">
        <v>50</v>
      </c>
      <c r="C19" s="234">
        <f>CEIResumida!D92</f>
        <v>0</v>
      </c>
      <c r="D19" s="235">
        <f>CEIResumida!E92</f>
        <v>895266</v>
      </c>
      <c r="E19" s="155">
        <f>CEIResumida!F92</f>
        <v>800730</v>
      </c>
      <c r="F19" s="157">
        <f>CEIResumida!G92</f>
        <v>0</v>
      </c>
      <c r="G19" s="155">
        <f>CEIResumida!H92</f>
        <v>94536</v>
      </c>
      <c r="H19" s="157">
        <f>CEIResumida!I92</f>
        <v>0</v>
      </c>
      <c r="I19" s="155">
        <f>CEIResumida!J92</f>
        <v>0</v>
      </c>
      <c r="J19" s="157">
        <f>CEIResumida!K92</f>
        <v>0</v>
      </c>
      <c r="K19" s="156">
        <f>CEIResumida!L92</f>
        <v>0</v>
      </c>
      <c r="L19" s="157">
        <f>CEIResumida!M92</f>
        <v>0</v>
      </c>
      <c r="M19" s="158">
        <f t="shared" si="1"/>
        <v>0</v>
      </c>
      <c r="R19" s="248">
        <v>0</v>
      </c>
      <c r="S19" s="248">
        <f>1465281*1</f>
        <v>1465281</v>
      </c>
      <c r="T19" s="248"/>
      <c r="U19" s="248">
        <f>$U$20*ParâmeetrosTRU!AB50</f>
        <v>0</v>
      </c>
      <c r="V19" s="248">
        <v>0</v>
      </c>
      <c r="W19" s="248">
        <v>0</v>
      </c>
      <c r="X19" s="248">
        <f t="shared" si="2"/>
        <v>1465281</v>
      </c>
      <c r="Y19" s="248">
        <f t="shared" si="3"/>
        <v>0</v>
      </c>
      <c r="Z19" s="248">
        <f t="shared" si="4"/>
        <v>1465281</v>
      </c>
      <c r="AA19" s="248">
        <f>SimulTRU2!CH50</f>
        <v>1465281</v>
      </c>
      <c r="AB19" s="248">
        <f>SimulTRU2!CK50</f>
        <v>0</v>
      </c>
      <c r="AC19" s="139"/>
      <c r="AD19" s="231">
        <f t="shared" si="5"/>
        <v>0</v>
      </c>
      <c r="AE19" s="231">
        <f t="shared" si="0"/>
        <v>0</v>
      </c>
      <c r="AF19" s="231">
        <f t="shared" si="0"/>
        <v>0</v>
      </c>
      <c r="AG19" s="231">
        <f t="shared" si="0"/>
        <v>0</v>
      </c>
      <c r="AH19" s="231">
        <f t="shared" si="0"/>
        <v>0</v>
      </c>
      <c r="AI19" s="231">
        <f t="shared" si="0"/>
        <v>0</v>
      </c>
      <c r="AJ19" s="231">
        <f t="shared" si="0"/>
        <v>0</v>
      </c>
      <c r="AK19" s="231">
        <f t="shared" si="0"/>
        <v>0</v>
      </c>
      <c r="AL19" s="231">
        <f t="shared" si="0"/>
        <v>0</v>
      </c>
      <c r="AM19" s="231">
        <f t="shared" si="0"/>
        <v>0</v>
      </c>
    </row>
    <row r="20" spans="1:39" ht="17.25" thickTop="1">
      <c r="A20" s="367"/>
      <c r="B20" s="134" t="s">
        <v>455</v>
      </c>
      <c r="C20" s="234">
        <f>CEIResumida!D93</f>
        <v>1254637</v>
      </c>
      <c r="D20" s="235">
        <f>CEIResumida!E93</f>
        <v>0</v>
      </c>
      <c r="E20" s="155">
        <f>CEIResumida!F93</f>
        <v>0</v>
      </c>
      <c r="F20" s="157">
        <f>CEIResumida!G93</f>
        <v>1254637</v>
      </c>
      <c r="G20" s="155">
        <f>CEIResumida!H93</f>
        <v>0</v>
      </c>
      <c r="H20" s="157">
        <f>CEIResumida!I93</f>
        <v>0</v>
      </c>
      <c r="I20" s="155">
        <f>CEIResumida!J93</f>
        <v>0</v>
      </c>
      <c r="J20" s="157">
        <f>CEIResumida!K93</f>
        <v>0</v>
      </c>
      <c r="K20" s="156">
        <f>CEIResumida!L93</f>
        <v>0</v>
      </c>
      <c r="L20" s="157">
        <f>CEIResumida!M93</f>
        <v>0</v>
      </c>
      <c r="M20" s="158">
        <f t="shared" si="1"/>
        <v>0</v>
      </c>
      <c r="R20" s="252">
        <f>SUM(R8:R19)</f>
        <v>1252049</v>
      </c>
      <c r="S20" s="252">
        <f t="shared" ref="S20:AA20" si="6">SUM(S8:S19)</f>
        <v>1532204</v>
      </c>
      <c r="T20" s="252">
        <f t="shared" si="6"/>
        <v>0</v>
      </c>
      <c r="U20" s="280">
        <v>4805004.0000000028</v>
      </c>
      <c r="V20" s="252">
        <f>SUM(V8:V19)</f>
        <v>1260227</v>
      </c>
      <c r="W20" s="252">
        <f t="shared" si="6"/>
        <v>-33878</v>
      </c>
      <c r="X20" s="252">
        <f t="shared" si="6"/>
        <v>4010602</v>
      </c>
      <c r="Y20" s="252">
        <f t="shared" si="6"/>
        <v>4805004.0000000028</v>
      </c>
      <c r="Z20" s="252">
        <f>SUM(Z8:Z19)</f>
        <v>8815606.0000000019</v>
      </c>
      <c r="AA20" s="277">
        <f t="shared" si="6"/>
        <v>15526868.000000006</v>
      </c>
      <c r="AB20" s="276"/>
      <c r="AD20" s="257">
        <f t="shared" si="5"/>
        <v>0</v>
      </c>
      <c r="AE20" s="257">
        <f t="shared" si="0"/>
        <v>0</v>
      </c>
      <c r="AF20" s="257">
        <f t="shared" si="0"/>
        <v>0</v>
      </c>
      <c r="AG20" s="257">
        <f t="shared" si="0"/>
        <v>6.6613381477509392E-16</v>
      </c>
      <c r="AH20" s="257">
        <f t="shared" si="0"/>
        <v>0</v>
      </c>
      <c r="AI20" s="257">
        <f t="shared" si="0"/>
        <v>0</v>
      </c>
      <c r="AJ20" s="257">
        <f t="shared" si="0"/>
        <v>0</v>
      </c>
      <c r="AK20" s="257">
        <f t="shared" si="0"/>
        <v>6.6613381477509392E-16</v>
      </c>
      <c r="AL20" s="257">
        <f t="shared" si="0"/>
        <v>2.2204460492503131E-16</v>
      </c>
      <c r="AM20" s="257">
        <f t="shared" si="0"/>
        <v>4.4408920985006262E-16</v>
      </c>
    </row>
    <row r="21" spans="1:39" ht="11.25" customHeight="1" thickBot="1">
      <c r="A21" s="367"/>
      <c r="B21" s="134" t="s">
        <v>456</v>
      </c>
      <c r="C21" s="234">
        <f>CEIResumida!D94</f>
        <v>717798</v>
      </c>
      <c r="D21" s="235">
        <f>CEIResumida!E94</f>
        <v>0</v>
      </c>
      <c r="E21" s="155">
        <f>CEIResumida!F94</f>
        <v>0</v>
      </c>
      <c r="F21" s="157">
        <f>CEIResumida!G94</f>
        <v>624646</v>
      </c>
      <c r="G21" s="155">
        <f>CEIResumida!H94</f>
        <v>0</v>
      </c>
      <c r="H21" s="157">
        <f>CEIResumida!I94</f>
        <v>93152</v>
      </c>
      <c r="I21" s="155">
        <f>CEIResumida!J94</f>
        <v>0</v>
      </c>
      <c r="J21" s="157">
        <f>CEIResumida!K94</f>
        <v>0</v>
      </c>
      <c r="K21" s="156">
        <f>CEIResumida!L94</f>
        <v>0</v>
      </c>
      <c r="L21" s="157">
        <f>CEIResumida!M94</f>
        <v>0</v>
      </c>
      <c r="M21" s="158">
        <f t="shared" si="1"/>
        <v>0</v>
      </c>
    </row>
    <row r="22" spans="1:39" ht="9" customHeight="1" thickTop="1">
      <c r="A22" s="367"/>
      <c r="B22" s="135" t="s">
        <v>65</v>
      </c>
      <c r="C22" s="241">
        <f>CEIResumida!D95</f>
        <v>35242</v>
      </c>
      <c r="D22" s="239">
        <f>CEIResumida!E95</f>
        <v>0</v>
      </c>
      <c r="E22" s="166">
        <f>CEIResumida!F95</f>
        <v>70054</v>
      </c>
      <c r="F22" s="168">
        <f>CEIResumida!G95</f>
        <v>0</v>
      </c>
      <c r="G22" s="166">
        <f>CEIResumida!H95</f>
        <v>0</v>
      </c>
      <c r="H22" s="168">
        <f>CEIResumida!I95</f>
        <v>13352</v>
      </c>
      <c r="I22" s="166">
        <f>CEIResumida!J95</f>
        <v>0</v>
      </c>
      <c r="J22" s="168">
        <f>CEIResumida!K95</f>
        <v>59170</v>
      </c>
      <c r="K22" s="167">
        <f>CEIResumida!L95</f>
        <v>0</v>
      </c>
      <c r="L22" s="168">
        <f>CEIResumida!M95</f>
        <v>32774</v>
      </c>
      <c r="M22" s="158">
        <f t="shared" si="1"/>
        <v>0</v>
      </c>
      <c r="O22" s="128" t="s">
        <v>516</v>
      </c>
      <c r="R22" s="424" t="s">
        <v>518</v>
      </c>
      <c r="S22" s="424" t="s">
        <v>519</v>
      </c>
      <c r="T22" s="421"/>
      <c r="U22" s="421" t="s">
        <v>521</v>
      </c>
      <c r="V22" s="421" t="s">
        <v>522</v>
      </c>
      <c r="W22" s="421" t="s">
        <v>523</v>
      </c>
      <c r="X22" s="421" t="s">
        <v>562</v>
      </c>
      <c r="Y22" s="421" t="s">
        <v>561</v>
      </c>
      <c r="Z22" s="421" t="s">
        <v>516</v>
      </c>
      <c r="AA22" s="434" t="s">
        <v>576</v>
      </c>
      <c r="AB22" s="275"/>
      <c r="AD22" s="424" t="s">
        <v>518</v>
      </c>
      <c r="AE22" s="424" t="s">
        <v>519</v>
      </c>
      <c r="AF22" s="421"/>
      <c r="AG22" s="421" t="s">
        <v>521</v>
      </c>
      <c r="AH22" s="421" t="s">
        <v>522</v>
      </c>
      <c r="AI22" s="421" t="s">
        <v>523</v>
      </c>
      <c r="AJ22" s="421" t="s">
        <v>562</v>
      </c>
      <c r="AK22" s="421" t="s">
        <v>561</v>
      </c>
      <c r="AL22" s="421" t="s">
        <v>516</v>
      </c>
      <c r="AM22" s="421" t="s">
        <v>563</v>
      </c>
    </row>
    <row r="23" spans="1:39" ht="8.25" customHeight="1">
      <c r="A23" s="367" t="s">
        <v>554</v>
      </c>
      <c r="B23" s="134" t="s">
        <v>79</v>
      </c>
      <c r="C23" s="234">
        <f>CEIResumida!D96</f>
        <v>0</v>
      </c>
      <c r="D23" s="292">
        <f>(SUM(C8:C22)-SUM(D8:D22))*ParâmetrosCEI!D56</f>
        <v>4805004.0000000009</v>
      </c>
      <c r="E23" s="155">
        <f>CEIResumida!F96</f>
        <v>0</v>
      </c>
      <c r="F23" s="157">
        <f>S20</f>
        <v>1532204</v>
      </c>
      <c r="G23" s="155">
        <f>CEIResumida!H96</f>
        <v>0</v>
      </c>
      <c r="H23" s="157">
        <f>CEIResumida!I96</f>
        <v>0</v>
      </c>
      <c r="I23" s="155">
        <f>CEIResumida!J96</f>
        <v>0</v>
      </c>
      <c r="J23" s="157">
        <f>CEIResumida!K96</f>
        <v>0</v>
      </c>
      <c r="K23" s="156">
        <f>CEIResumida!L96</f>
        <v>0</v>
      </c>
      <c r="L23" s="157">
        <f>CEIResumida!M96</f>
        <v>0</v>
      </c>
      <c r="M23" s="158">
        <f t="shared" si="1"/>
        <v>-6337208.0000000009</v>
      </c>
      <c r="O23" s="158">
        <f>D23+D25+F23+F25+H25+J25+J26+L7</f>
        <v>8815606</v>
      </c>
      <c r="R23" s="425"/>
      <c r="S23" s="425"/>
      <c r="T23" s="422"/>
      <c r="U23" s="422"/>
      <c r="V23" s="427"/>
      <c r="W23" s="427"/>
      <c r="X23" s="422"/>
      <c r="Y23" s="422"/>
      <c r="Z23" s="422"/>
      <c r="AA23" s="435"/>
      <c r="AB23" s="437" t="s">
        <v>17</v>
      </c>
      <c r="AD23" s="425"/>
      <c r="AE23" s="425"/>
      <c r="AF23" s="422"/>
      <c r="AG23" s="422"/>
      <c r="AH23" s="427"/>
      <c r="AI23" s="427"/>
      <c r="AJ23" s="422"/>
      <c r="AK23" s="422"/>
      <c r="AL23" s="422"/>
      <c r="AM23" s="422"/>
    </row>
    <row r="24" spans="1:39" ht="8.25" customHeight="1">
      <c r="A24" s="367"/>
      <c r="B24" s="134" t="s">
        <v>404</v>
      </c>
      <c r="C24" s="234">
        <f>CEIResumida!D97</f>
        <v>0</v>
      </c>
      <c r="D24" s="235">
        <f>CEIResumida!E97</f>
        <v>0</v>
      </c>
      <c r="E24" s="155">
        <f>CEIResumida!F97</f>
        <v>0</v>
      </c>
      <c r="F24" s="157">
        <f>CEIResumida!G97</f>
        <v>0</v>
      </c>
      <c r="G24" s="155">
        <f>CEIResumida!H97</f>
        <v>0</v>
      </c>
      <c r="H24" s="157">
        <f>CEIResumida!I97</f>
        <v>0</v>
      </c>
      <c r="I24" s="155">
        <f>CEIResumida!J97</f>
        <v>0</v>
      </c>
      <c r="J24" s="157">
        <f>CEIResumida!K97</f>
        <v>0</v>
      </c>
      <c r="K24" s="156">
        <f>CEIResumida!L97</f>
        <v>0</v>
      </c>
      <c r="L24" s="157">
        <f>CEIResumida!M97</f>
        <v>0</v>
      </c>
      <c r="M24" s="158">
        <f t="shared" si="1"/>
        <v>0</v>
      </c>
      <c r="R24" s="425"/>
      <c r="S24" s="425"/>
      <c r="T24" s="422"/>
      <c r="U24" s="422"/>
      <c r="V24" s="427"/>
      <c r="W24" s="427"/>
      <c r="X24" s="422"/>
      <c r="Y24" s="422"/>
      <c r="Z24" s="422"/>
      <c r="AA24" s="435"/>
      <c r="AB24" s="437"/>
      <c r="AD24" s="425"/>
      <c r="AE24" s="425"/>
      <c r="AF24" s="422"/>
      <c r="AG24" s="422"/>
      <c r="AH24" s="427"/>
      <c r="AI24" s="427"/>
      <c r="AJ24" s="422"/>
      <c r="AK24" s="422"/>
      <c r="AL24" s="422"/>
      <c r="AM24" s="422"/>
    </row>
    <row r="25" spans="1:39" ht="9" customHeight="1" thickBot="1">
      <c r="A25" s="367"/>
      <c r="B25" s="134" t="s">
        <v>87</v>
      </c>
      <c r="C25" s="234">
        <f>CEIResumida!D98</f>
        <v>0</v>
      </c>
      <c r="D25" s="235">
        <f>(SUM(C8:C22)-SUM(D8:D22))*ParâmetrosCEI!D58</f>
        <v>410010.00000000006</v>
      </c>
      <c r="E25" s="155">
        <f>CEIResumida!F98</f>
        <v>0</v>
      </c>
      <c r="F25" s="157">
        <f>CEIResumida!G98</f>
        <v>139686</v>
      </c>
      <c r="G25" s="155">
        <f>CEIResumida!H98</f>
        <v>0</v>
      </c>
      <c r="H25" s="157">
        <f>CEIResumida!I98</f>
        <v>13718</v>
      </c>
      <c r="I25" s="155">
        <f>CEIResumida!J98</f>
        <v>0</v>
      </c>
      <c r="J25" s="157">
        <f>CEIResumida!K98</f>
        <v>696813</v>
      </c>
      <c r="K25" s="156">
        <f>CEIResumida!L98</f>
        <v>0</v>
      </c>
      <c r="L25" s="157">
        <f>CEIResumida!M98</f>
        <v>0</v>
      </c>
      <c r="M25" s="158">
        <f t="shared" si="1"/>
        <v>-1260227</v>
      </c>
      <c r="N25" s="274" t="s">
        <v>568</v>
      </c>
      <c r="O25" s="158">
        <f>Z20</f>
        <v>8815606.0000000019</v>
      </c>
      <c r="R25" s="426"/>
      <c r="S25" s="426"/>
      <c r="T25" s="423"/>
      <c r="U25" s="423"/>
      <c r="V25" s="428"/>
      <c r="W25" s="428"/>
      <c r="X25" s="423"/>
      <c r="Y25" s="423"/>
      <c r="Z25" s="423"/>
      <c r="AA25" s="436"/>
      <c r="AB25" s="275"/>
      <c r="AD25" s="426"/>
      <c r="AE25" s="426"/>
      <c r="AF25" s="423"/>
      <c r="AG25" s="423"/>
      <c r="AH25" s="428"/>
      <c r="AI25" s="428"/>
      <c r="AJ25" s="423"/>
      <c r="AK25" s="423"/>
      <c r="AL25" s="423"/>
      <c r="AM25" s="423"/>
    </row>
    <row r="26" spans="1:39" ht="9" thickTop="1">
      <c r="A26" s="367"/>
      <c r="B26" s="134" t="s">
        <v>89</v>
      </c>
      <c r="C26" s="234">
        <f>CEIResumida!D99</f>
        <v>0</v>
      </c>
      <c r="D26" s="235">
        <f>CEIResumida!E99</f>
        <v>0</v>
      </c>
      <c r="E26" s="155">
        <f>CEIResumida!F99</f>
        <v>0</v>
      </c>
      <c r="F26" s="157">
        <f>CEIResumida!G99</f>
        <v>0</v>
      </c>
      <c r="G26" s="155">
        <f>CEIResumida!H99</f>
        <v>0</v>
      </c>
      <c r="H26" s="157">
        <f>CEIResumida!I99</f>
        <v>0</v>
      </c>
      <c r="I26" s="155">
        <f>CEIResumida!J99</f>
        <v>0</v>
      </c>
      <c r="J26" s="157">
        <f>CEIResumida!K99</f>
        <v>-33878</v>
      </c>
      <c r="K26" s="156">
        <f>CEIResumida!L99</f>
        <v>0</v>
      </c>
      <c r="L26" s="157">
        <f>CEIResumida!M99</f>
        <v>0</v>
      </c>
      <c r="M26" s="158">
        <f t="shared" si="1"/>
        <v>33878</v>
      </c>
      <c r="N26" s="274" t="s">
        <v>569</v>
      </c>
      <c r="O26" s="158">
        <f>Z39</f>
        <v>8815606</v>
      </c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</row>
    <row r="27" spans="1:39" ht="16.5">
      <c r="A27" s="367"/>
      <c r="B27" s="135" t="s">
        <v>410</v>
      </c>
      <c r="C27" s="241">
        <f>CEIResumida!D100</f>
        <v>0</v>
      </c>
      <c r="D27" s="239">
        <f>CEIResumida!E100</f>
        <v>0</v>
      </c>
      <c r="E27" s="166">
        <f>CEIResumida!F100</f>
        <v>0</v>
      </c>
      <c r="F27" s="168">
        <f>CEIResumida!G100</f>
        <v>0</v>
      </c>
      <c r="G27" s="166">
        <f>CEIResumida!H100</f>
        <v>0</v>
      </c>
      <c r="H27" s="168">
        <f>CEIResumida!I100</f>
        <v>0</v>
      </c>
      <c r="I27" s="166">
        <f>CEIResumida!J100</f>
        <v>0</v>
      </c>
      <c r="J27" s="168">
        <f>CEIResumida!K100</f>
        <v>0</v>
      </c>
      <c r="K27" s="156">
        <f>CEIResumida!L100</f>
        <v>0</v>
      </c>
      <c r="L27" s="157">
        <f>CEIResumida!M100</f>
        <v>0</v>
      </c>
      <c r="M27" s="158">
        <f t="shared" si="1"/>
        <v>0</v>
      </c>
      <c r="N27" s="274" t="s">
        <v>567</v>
      </c>
      <c r="O27" s="273">
        <f>Original!AE51</f>
        <v>8815606</v>
      </c>
      <c r="R27" s="248">
        <f t="shared" ref="R27:S29" si="7">R8</f>
        <v>241683</v>
      </c>
      <c r="S27" s="248">
        <f t="shared" si="7"/>
        <v>230</v>
      </c>
      <c r="T27" s="192"/>
      <c r="U27" s="248">
        <f>$D$23*ParâmeetrosTRU!AB39</f>
        <v>212694.00000000006</v>
      </c>
      <c r="V27" s="248">
        <v>22310</v>
      </c>
      <c r="W27" s="248">
        <v>-2694</v>
      </c>
      <c r="X27" s="248">
        <f>R27+S27+V27+W27</f>
        <v>261529</v>
      </c>
      <c r="Y27" s="248">
        <f>Z27-X27</f>
        <v>212694.00000000006</v>
      </c>
      <c r="Z27" s="248">
        <f t="shared" ref="Z27:Z38" si="8">SUM(R27:W27)</f>
        <v>474223.00000000006</v>
      </c>
      <c r="AA27" s="248">
        <f>Z27+AB27</f>
        <v>938989.00000000023</v>
      </c>
      <c r="AB27" s="248">
        <f>SimulTRU2!CK39</f>
        <v>464766.00000000023</v>
      </c>
      <c r="AC27" s="139"/>
      <c r="AD27" s="231">
        <f>IFERROR(R27/R47-1,0)</f>
        <v>0</v>
      </c>
      <c r="AE27" s="231">
        <f t="shared" ref="AE27:AM39" si="9">IFERROR(S27/S47-1,0)</f>
        <v>0</v>
      </c>
      <c r="AF27" s="231">
        <f t="shared" si="9"/>
        <v>0</v>
      </c>
      <c r="AG27" s="231">
        <f t="shared" si="9"/>
        <v>2.2204460492503131E-16</v>
      </c>
      <c r="AH27" s="231">
        <f t="shared" si="9"/>
        <v>0</v>
      </c>
      <c r="AI27" s="231">
        <f t="shared" si="9"/>
        <v>0</v>
      </c>
      <c r="AJ27" s="231">
        <f t="shared" si="9"/>
        <v>0</v>
      </c>
      <c r="AK27" s="231">
        <f t="shared" si="9"/>
        <v>2.2204460492503131E-16</v>
      </c>
      <c r="AL27" s="231">
        <f t="shared" si="9"/>
        <v>2.2204460492503131E-16</v>
      </c>
      <c r="AM27" s="231">
        <f t="shared" si="9"/>
        <v>2.2204460492503131E-16</v>
      </c>
    </row>
    <row r="28" spans="1:39" ht="16.5">
      <c r="B28" s="137" t="s">
        <v>189</v>
      </c>
      <c r="C28" s="364">
        <f>SUM(C7:C27)-SUM(D7:D27)</f>
        <v>562272</v>
      </c>
      <c r="D28" s="360"/>
      <c r="E28" s="364">
        <f>SUM(E7:E27)-SUM(F7:F27)</f>
        <v>-918009</v>
      </c>
      <c r="F28" s="360"/>
      <c r="G28" s="364">
        <f>SUM(G7:G27)-SUM(H7:H27)</f>
        <v>149429.00000000023</v>
      </c>
      <c r="H28" s="360"/>
      <c r="I28" s="364">
        <f>SUM(I7:I27)-SUM(J7:J27)</f>
        <v>125770.00000000186</v>
      </c>
      <c r="J28" s="360"/>
      <c r="K28" s="364">
        <f>-SUM(C28:J28)</f>
        <v>80537.999999997905</v>
      </c>
      <c r="L28" s="360"/>
      <c r="M28" s="158">
        <f t="shared" si="1"/>
        <v>0</v>
      </c>
      <c r="R28" s="248">
        <f t="shared" si="7"/>
        <v>253114</v>
      </c>
      <c r="S28" s="248">
        <f t="shared" si="7"/>
        <v>0</v>
      </c>
      <c r="T28" s="192"/>
      <c r="U28" s="248">
        <f>$D$23*ParâmeetrosTRU!AB40</f>
        <v>0</v>
      </c>
      <c r="V28" s="248">
        <v>10455</v>
      </c>
      <c r="W28" s="248">
        <v>-27501</v>
      </c>
      <c r="X28" s="248">
        <f t="shared" ref="X28:X38" si="10">R28+S28+V28+W28</f>
        <v>236068</v>
      </c>
      <c r="Y28" s="248">
        <f t="shared" ref="Y28:Y38" si="11">Z28-X28</f>
        <v>0</v>
      </c>
      <c r="Z28" s="248">
        <f t="shared" si="8"/>
        <v>236068</v>
      </c>
      <c r="AA28" s="248">
        <f t="shared" ref="AA28:AA38" si="12">Z28+AB28</f>
        <v>474641.00000000012</v>
      </c>
      <c r="AB28" s="248">
        <f>SimulTRU2!CK40</f>
        <v>238573.00000000009</v>
      </c>
      <c r="AC28" s="139"/>
      <c r="AD28" s="231">
        <f t="shared" ref="AD28:AD39" si="13">IFERROR(R28/R48-1,0)</f>
        <v>0</v>
      </c>
      <c r="AE28" s="231">
        <f t="shared" si="9"/>
        <v>0</v>
      </c>
      <c r="AF28" s="231">
        <f t="shared" si="9"/>
        <v>0</v>
      </c>
      <c r="AG28" s="231">
        <f t="shared" si="9"/>
        <v>0</v>
      </c>
      <c r="AH28" s="231">
        <f t="shared" si="9"/>
        <v>0</v>
      </c>
      <c r="AI28" s="231">
        <f t="shared" si="9"/>
        <v>0</v>
      </c>
      <c r="AJ28" s="231">
        <f t="shared" si="9"/>
        <v>0</v>
      </c>
      <c r="AK28" s="231">
        <f t="shared" si="9"/>
        <v>0</v>
      </c>
      <c r="AL28" s="231">
        <f t="shared" si="9"/>
        <v>0</v>
      </c>
      <c r="AM28" s="231">
        <f t="shared" si="9"/>
        <v>4.4408920985006262E-16</v>
      </c>
    </row>
    <row r="29" spans="1:39">
      <c r="B29" s="46" t="s">
        <v>415</v>
      </c>
      <c r="C29" s="364">
        <v>562272</v>
      </c>
      <c r="D29" s="360"/>
      <c r="E29" s="364">
        <v>-918009</v>
      </c>
      <c r="F29" s="360"/>
      <c r="G29" s="364">
        <v>149429</v>
      </c>
      <c r="H29" s="360"/>
      <c r="I29" s="364">
        <v>125770</v>
      </c>
      <c r="J29" s="360"/>
      <c r="K29" s="365">
        <v>80538</v>
      </c>
      <c r="L29" s="366"/>
      <c r="M29" s="158">
        <f t="shared" si="1"/>
        <v>0</v>
      </c>
      <c r="R29" s="248">
        <f t="shared" si="7"/>
        <v>611468</v>
      </c>
      <c r="S29" s="248">
        <f t="shared" si="7"/>
        <v>9716</v>
      </c>
      <c r="T29" s="192"/>
      <c r="U29" s="248">
        <f>$D$23*ParâmeetrosTRU!AB41</f>
        <v>2148705.0000000005</v>
      </c>
      <c r="V29" s="248">
        <v>523356</v>
      </c>
      <c r="W29" s="248">
        <v>-2168</v>
      </c>
      <c r="X29" s="248">
        <f t="shared" si="10"/>
        <v>1142372</v>
      </c>
      <c r="Y29" s="248">
        <f t="shared" si="11"/>
        <v>2148705.0000000005</v>
      </c>
      <c r="Z29" s="248">
        <f t="shared" si="8"/>
        <v>3291077.0000000005</v>
      </c>
      <c r="AA29" s="248">
        <f t="shared" si="12"/>
        <v>6468662.0000000019</v>
      </c>
      <c r="AB29" s="248">
        <f>SimulTRU2!CK41</f>
        <v>3177585.0000000014</v>
      </c>
      <c r="AC29" s="139"/>
      <c r="AD29" s="231">
        <f t="shared" si="13"/>
        <v>0</v>
      </c>
      <c r="AE29" s="231">
        <f t="shared" si="9"/>
        <v>0</v>
      </c>
      <c r="AF29" s="231">
        <f t="shared" si="9"/>
        <v>0</v>
      </c>
      <c r="AG29" s="231">
        <f t="shared" si="9"/>
        <v>2.2204460492503131E-16</v>
      </c>
      <c r="AH29" s="231">
        <f t="shared" si="9"/>
        <v>0</v>
      </c>
      <c r="AI29" s="231">
        <f t="shared" si="9"/>
        <v>0</v>
      </c>
      <c r="AJ29" s="231">
        <f t="shared" si="9"/>
        <v>0</v>
      </c>
      <c r="AK29" s="231">
        <f t="shared" si="9"/>
        <v>2.2204460492503131E-16</v>
      </c>
      <c r="AL29" s="231">
        <f t="shared" si="9"/>
        <v>2.2204460492503131E-16</v>
      </c>
      <c r="AM29" s="231">
        <f t="shared" si="9"/>
        <v>4.4408920985006262E-16</v>
      </c>
    </row>
    <row r="30" spans="1:39">
      <c r="R30" s="248">
        <f t="shared" ref="R30:S38" si="14">R11</f>
        <v>2</v>
      </c>
      <c r="S30" s="248">
        <f t="shared" si="14"/>
        <v>0</v>
      </c>
      <c r="T30" s="192"/>
      <c r="U30" s="248">
        <f>$D$23*ParâmeetrosTRU!AB42</f>
        <v>186576.00000000006</v>
      </c>
      <c r="V30" s="248">
        <v>0</v>
      </c>
      <c r="W30" s="248">
        <v>-60</v>
      </c>
      <c r="X30" s="248">
        <f t="shared" si="10"/>
        <v>-58</v>
      </c>
      <c r="Y30" s="248">
        <f t="shared" si="11"/>
        <v>186576.00000000006</v>
      </c>
      <c r="Z30" s="248">
        <f t="shared" si="8"/>
        <v>186518.00000000006</v>
      </c>
      <c r="AA30" s="248">
        <f t="shared" si="12"/>
        <v>532996.00000000023</v>
      </c>
      <c r="AB30" s="248">
        <f>SimulTRU2!CK42</f>
        <v>346478.00000000012</v>
      </c>
      <c r="AC30" s="139"/>
      <c r="AD30" s="231">
        <f t="shared" si="13"/>
        <v>0</v>
      </c>
      <c r="AE30" s="231">
        <f t="shared" si="9"/>
        <v>0</v>
      </c>
      <c r="AF30" s="231">
        <f t="shared" si="9"/>
        <v>0</v>
      </c>
      <c r="AG30" s="231">
        <f t="shared" si="9"/>
        <v>2.2204460492503131E-16</v>
      </c>
      <c r="AH30" s="231">
        <f t="shared" si="9"/>
        <v>0</v>
      </c>
      <c r="AI30" s="231">
        <f t="shared" si="9"/>
        <v>0</v>
      </c>
      <c r="AJ30" s="231">
        <f t="shared" si="9"/>
        <v>0</v>
      </c>
      <c r="AK30" s="231">
        <f t="shared" si="9"/>
        <v>2.2204460492503131E-16</v>
      </c>
      <c r="AL30" s="231">
        <f t="shared" si="9"/>
        <v>2.2204460492503131E-16</v>
      </c>
      <c r="AM30" s="231">
        <f t="shared" si="9"/>
        <v>8.8817841970012523E-16</v>
      </c>
    </row>
    <row r="31" spans="1:39">
      <c r="D31" s="255">
        <f>C28/C29-1</f>
        <v>0</v>
      </c>
      <c r="F31" s="255">
        <f>E28/E29-1</f>
        <v>0</v>
      </c>
      <c r="H31" s="255">
        <f>G28/G29-1</f>
        <v>0</v>
      </c>
      <c r="J31" s="255">
        <f>I28/I29-1</f>
        <v>1.4876988529977098E-14</v>
      </c>
      <c r="L31" s="255">
        <f>K28/K29-1</f>
        <v>-2.5979218776228663E-14</v>
      </c>
      <c r="R31" s="248">
        <f t="shared" si="14"/>
        <v>3481</v>
      </c>
      <c r="S31" s="248">
        <f t="shared" si="14"/>
        <v>0</v>
      </c>
      <c r="T31" s="192"/>
      <c r="U31" s="248">
        <f>$D$23*ParâmeetrosTRU!AB43</f>
        <v>0</v>
      </c>
      <c r="V31" s="248">
        <v>556609</v>
      </c>
      <c r="W31" s="248">
        <v>0</v>
      </c>
      <c r="X31" s="248">
        <f t="shared" si="10"/>
        <v>560090</v>
      </c>
      <c r="Y31" s="248">
        <f t="shared" si="11"/>
        <v>0</v>
      </c>
      <c r="Z31" s="248">
        <f t="shared" si="8"/>
        <v>560090</v>
      </c>
      <c r="AA31" s="248">
        <f t="shared" si="12"/>
        <v>683264</v>
      </c>
      <c r="AB31" s="248">
        <f>SimulTRU2!CK43</f>
        <v>123174</v>
      </c>
      <c r="AC31" s="139"/>
      <c r="AD31" s="231">
        <f t="shared" si="13"/>
        <v>0</v>
      </c>
      <c r="AE31" s="231">
        <f t="shared" si="9"/>
        <v>0</v>
      </c>
      <c r="AF31" s="231">
        <f t="shared" si="9"/>
        <v>0</v>
      </c>
      <c r="AG31" s="231">
        <f t="shared" si="9"/>
        <v>0</v>
      </c>
      <c r="AH31" s="231">
        <f t="shared" si="9"/>
        <v>0</v>
      </c>
      <c r="AI31" s="231">
        <f t="shared" si="9"/>
        <v>0</v>
      </c>
      <c r="AJ31" s="231">
        <f t="shared" si="9"/>
        <v>0</v>
      </c>
      <c r="AK31" s="231">
        <f t="shared" si="9"/>
        <v>0</v>
      </c>
      <c r="AL31" s="231">
        <f t="shared" si="9"/>
        <v>0</v>
      </c>
      <c r="AM31" s="231">
        <f t="shared" si="9"/>
        <v>-5.5511151231257827E-16</v>
      </c>
    </row>
    <row r="32" spans="1:39">
      <c r="D32" s="254"/>
      <c r="R32" s="248">
        <f t="shared" si="14"/>
        <v>4676</v>
      </c>
      <c r="S32" s="248">
        <f t="shared" si="14"/>
        <v>0</v>
      </c>
      <c r="T32" s="192"/>
      <c r="U32" s="248">
        <f>$D$23*ParâmeetrosTRU!AB44</f>
        <v>55912.000000000015</v>
      </c>
      <c r="V32" s="248">
        <v>0</v>
      </c>
      <c r="W32" s="248">
        <v>0</v>
      </c>
      <c r="X32" s="248">
        <f t="shared" si="10"/>
        <v>4676</v>
      </c>
      <c r="Y32" s="248">
        <f t="shared" si="11"/>
        <v>55912.000000000015</v>
      </c>
      <c r="Z32" s="248">
        <f t="shared" si="8"/>
        <v>60588.000000000015</v>
      </c>
      <c r="AA32" s="248">
        <f t="shared" si="12"/>
        <v>140737.00000000006</v>
      </c>
      <c r="AB32" s="248">
        <f>SimulTRU2!CK44</f>
        <v>80149.000000000044</v>
      </c>
      <c r="AC32" s="139"/>
      <c r="AD32" s="231">
        <f t="shared" si="13"/>
        <v>0</v>
      </c>
      <c r="AE32" s="231">
        <f t="shared" si="9"/>
        <v>0</v>
      </c>
      <c r="AF32" s="231">
        <f t="shared" si="9"/>
        <v>0</v>
      </c>
      <c r="AG32" s="231">
        <f t="shared" si="9"/>
        <v>2.2204460492503131E-16</v>
      </c>
      <c r="AH32" s="231">
        <f t="shared" si="9"/>
        <v>0</v>
      </c>
      <c r="AI32" s="231">
        <f t="shared" si="9"/>
        <v>0</v>
      </c>
      <c r="AJ32" s="231">
        <f t="shared" si="9"/>
        <v>0</v>
      </c>
      <c r="AK32" s="231">
        <f t="shared" si="9"/>
        <v>2.2204460492503131E-16</v>
      </c>
      <c r="AL32" s="231">
        <f t="shared" si="9"/>
        <v>2.2204460492503131E-16</v>
      </c>
      <c r="AM32" s="231">
        <f t="shared" si="9"/>
        <v>8.8817841970012523E-16</v>
      </c>
    </row>
    <row r="33" spans="1:39">
      <c r="R33" s="248">
        <f t="shared" si="14"/>
        <v>34419</v>
      </c>
      <c r="S33" s="248">
        <f t="shared" si="14"/>
        <v>0</v>
      </c>
      <c r="T33" s="192"/>
      <c r="U33" s="248">
        <f>$D$23*ParâmeetrosTRU!AB45</f>
        <v>109783.00000000003</v>
      </c>
      <c r="V33" s="248">
        <v>0</v>
      </c>
      <c r="W33" s="248">
        <v>0</v>
      </c>
      <c r="X33" s="248">
        <f t="shared" si="10"/>
        <v>34419</v>
      </c>
      <c r="Y33" s="248">
        <f t="shared" si="11"/>
        <v>109783.00000000003</v>
      </c>
      <c r="Z33" s="248">
        <f t="shared" si="8"/>
        <v>144202.00000000003</v>
      </c>
      <c r="AA33" s="248">
        <f t="shared" si="12"/>
        <v>568288.00000000023</v>
      </c>
      <c r="AB33" s="248">
        <f>SimulTRU2!CK45</f>
        <v>424086.00000000023</v>
      </c>
      <c r="AC33" s="139"/>
      <c r="AD33" s="231">
        <f t="shared" si="13"/>
        <v>0</v>
      </c>
      <c r="AE33" s="231">
        <f t="shared" si="9"/>
        <v>0</v>
      </c>
      <c r="AF33" s="231">
        <f t="shared" si="9"/>
        <v>0</v>
      </c>
      <c r="AG33" s="231">
        <f t="shared" si="9"/>
        <v>2.2204460492503131E-16</v>
      </c>
      <c r="AH33" s="231">
        <f t="shared" si="9"/>
        <v>0</v>
      </c>
      <c r="AI33" s="231">
        <f t="shared" si="9"/>
        <v>0</v>
      </c>
      <c r="AJ33" s="231">
        <f t="shared" si="9"/>
        <v>0</v>
      </c>
      <c r="AK33" s="231">
        <f t="shared" si="9"/>
        <v>2.2204460492503131E-16</v>
      </c>
      <c r="AL33" s="231">
        <f t="shared" si="9"/>
        <v>2.2204460492503131E-16</v>
      </c>
      <c r="AM33" s="231">
        <f t="shared" si="9"/>
        <v>8.8817841970012523E-16</v>
      </c>
    </row>
    <row r="34" spans="1:39">
      <c r="C34" s="313" t="s">
        <v>2</v>
      </c>
      <c r="D34" s="314"/>
      <c r="E34" s="313" t="s">
        <v>293</v>
      </c>
      <c r="F34" s="314"/>
      <c r="G34" s="313" t="s">
        <v>266</v>
      </c>
      <c r="H34" s="314"/>
      <c r="I34" s="313" t="s">
        <v>265</v>
      </c>
      <c r="J34" s="314"/>
      <c r="K34" s="313" t="s">
        <v>412</v>
      </c>
      <c r="L34" s="314"/>
      <c r="R34" s="248">
        <f t="shared" si="14"/>
        <v>15282</v>
      </c>
      <c r="S34" s="248">
        <f t="shared" si="14"/>
        <v>0</v>
      </c>
      <c r="T34" s="192"/>
      <c r="U34" s="248">
        <f>$D$23*ParâmeetrosTRU!AB46</f>
        <v>152610.00000000003</v>
      </c>
      <c r="V34" s="248">
        <v>100913</v>
      </c>
      <c r="W34" s="248">
        <v>-1455</v>
      </c>
      <c r="X34" s="248">
        <f t="shared" si="10"/>
        <v>114740</v>
      </c>
      <c r="Y34" s="248">
        <f t="shared" si="11"/>
        <v>152610</v>
      </c>
      <c r="Z34" s="248">
        <f t="shared" si="8"/>
        <v>267350</v>
      </c>
      <c r="AA34" s="248">
        <f t="shared" si="12"/>
        <v>535541.00000000023</v>
      </c>
      <c r="AB34" s="248">
        <f>SimulTRU2!CK46</f>
        <v>268191.00000000017</v>
      </c>
      <c r="AC34" s="139"/>
      <c r="AD34" s="231">
        <f t="shared" si="13"/>
        <v>0</v>
      </c>
      <c r="AE34" s="231">
        <f t="shared" si="9"/>
        <v>0</v>
      </c>
      <c r="AF34" s="231">
        <f t="shared" si="9"/>
        <v>0</v>
      </c>
      <c r="AG34" s="231">
        <f t="shared" si="9"/>
        <v>2.2204460492503131E-16</v>
      </c>
      <c r="AH34" s="231">
        <f t="shared" si="9"/>
        <v>0</v>
      </c>
      <c r="AI34" s="231">
        <f t="shared" si="9"/>
        <v>0</v>
      </c>
      <c r="AJ34" s="231">
        <f t="shared" si="9"/>
        <v>0</v>
      </c>
      <c r="AK34" s="231">
        <f t="shared" si="9"/>
        <v>0</v>
      </c>
      <c r="AL34" s="231">
        <f t="shared" si="9"/>
        <v>0</v>
      </c>
      <c r="AM34" s="231">
        <f t="shared" si="9"/>
        <v>6.6613381477509392E-16</v>
      </c>
    </row>
    <row r="35" spans="1:39">
      <c r="C35" s="315"/>
      <c r="D35" s="316"/>
      <c r="E35" s="315"/>
      <c r="F35" s="316"/>
      <c r="G35" s="315"/>
      <c r="H35" s="316"/>
      <c r="I35" s="315"/>
      <c r="J35" s="316"/>
      <c r="K35" s="315"/>
      <c r="L35" s="316"/>
      <c r="R35" s="248">
        <f t="shared" si="14"/>
        <v>6943</v>
      </c>
      <c r="S35" s="248">
        <f t="shared" si="14"/>
        <v>2165</v>
      </c>
      <c r="T35" s="192"/>
      <c r="U35" s="248">
        <f>$D$23*ParâmeetrosTRU!AB47</f>
        <v>379659.00000000012</v>
      </c>
      <c r="V35" s="248">
        <v>0</v>
      </c>
      <c r="W35" s="248">
        <v>0</v>
      </c>
      <c r="X35" s="248">
        <f t="shared" si="10"/>
        <v>9108</v>
      </c>
      <c r="Y35" s="248">
        <f t="shared" si="11"/>
        <v>379659.00000000012</v>
      </c>
      <c r="Z35" s="248">
        <f t="shared" si="8"/>
        <v>388767.00000000012</v>
      </c>
      <c r="AA35" s="248">
        <f t="shared" si="12"/>
        <v>800076.00000000023</v>
      </c>
      <c r="AB35" s="248">
        <f>SimulTRU2!CK47</f>
        <v>411309.00000000017</v>
      </c>
      <c r="AC35" s="139"/>
      <c r="AD35" s="231">
        <f t="shared" si="13"/>
        <v>0</v>
      </c>
      <c r="AE35" s="231">
        <f t="shared" si="9"/>
        <v>0</v>
      </c>
      <c r="AF35" s="231">
        <f t="shared" si="9"/>
        <v>0</v>
      </c>
      <c r="AG35" s="231">
        <f t="shared" si="9"/>
        <v>2.2204460492503131E-16</v>
      </c>
      <c r="AH35" s="231">
        <f t="shared" si="9"/>
        <v>0</v>
      </c>
      <c r="AI35" s="231">
        <f t="shared" si="9"/>
        <v>0</v>
      </c>
      <c r="AJ35" s="231">
        <f t="shared" si="9"/>
        <v>0</v>
      </c>
      <c r="AK35" s="231">
        <f t="shared" si="9"/>
        <v>2.2204460492503131E-16</v>
      </c>
      <c r="AL35" s="231">
        <f t="shared" si="9"/>
        <v>2.2204460492503131E-16</v>
      </c>
      <c r="AM35" s="231">
        <f t="shared" si="9"/>
        <v>6.6613381477509392E-16</v>
      </c>
    </row>
    <row r="36" spans="1:39">
      <c r="C36" s="315"/>
      <c r="D36" s="316"/>
      <c r="E36" s="315"/>
      <c r="F36" s="316"/>
      <c r="G36" s="315"/>
      <c r="H36" s="316"/>
      <c r="I36" s="315"/>
      <c r="J36" s="316"/>
      <c r="K36" s="315"/>
      <c r="L36" s="316"/>
      <c r="R36" s="248">
        <f t="shared" si="14"/>
        <v>4688</v>
      </c>
      <c r="S36" s="248">
        <f t="shared" si="14"/>
        <v>0</v>
      </c>
      <c r="T36" s="192"/>
      <c r="U36" s="248">
        <f>$D$23*ParâmeetrosTRU!AB48</f>
        <v>643203.00000000012</v>
      </c>
      <c r="V36" s="248">
        <v>0</v>
      </c>
      <c r="W36" s="248">
        <v>0</v>
      </c>
      <c r="X36" s="248">
        <f t="shared" si="10"/>
        <v>4688</v>
      </c>
      <c r="Y36" s="248">
        <f t="shared" si="11"/>
        <v>643203.00000000012</v>
      </c>
      <c r="Z36" s="248">
        <f t="shared" si="8"/>
        <v>647891.00000000012</v>
      </c>
      <c r="AA36" s="248">
        <f t="shared" si="12"/>
        <v>793035.00000000023</v>
      </c>
      <c r="AB36" s="248">
        <f>SimulTRU2!CK48</f>
        <v>145144.00000000012</v>
      </c>
      <c r="AC36" s="139"/>
      <c r="AD36" s="231">
        <f t="shared" si="13"/>
        <v>0</v>
      </c>
      <c r="AE36" s="231">
        <f t="shared" si="9"/>
        <v>0</v>
      </c>
      <c r="AF36" s="231">
        <f t="shared" si="9"/>
        <v>0</v>
      </c>
      <c r="AG36" s="231">
        <f t="shared" si="9"/>
        <v>2.2204460492503131E-16</v>
      </c>
      <c r="AH36" s="231">
        <f t="shared" si="9"/>
        <v>0</v>
      </c>
      <c r="AI36" s="231">
        <f t="shared" si="9"/>
        <v>0</v>
      </c>
      <c r="AJ36" s="231">
        <f t="shared" si="9"/>
        <v>0</v>
      </c>
      <c r="AK36" s="231">
        <f t="shared" si="9"/>
        <v>2.2204460492503131E-16</v>
      </c>
      <c r="AL36" s="231">
        <f t="shared" si="9"/>
        <v>2.2204460492503131E-16</v>
      </c>
      <c r="AM36" s="231">
        <f t="shared" si="9"/>
        <v>2.2204460492503131E-16</v>
      </c>
    </row>
    <row r="37" spans="1:39">
      <c r="C37" s="315"/>
      <c r="D37" s="316"/>
      <c r="E37" s="315"/>
      <c r="F37" s="316"/>
      <c r="G37" s="315"/>
      <c r="H37" s="316"/>
      <c r="I37" s="315"/>
      <c r="J37" s="316"/>
      <c r="K37" s="315"/>
      <c r="L37" s="316"/>
      <c r="R37" s="248">
        <f t="shared" si="14"/>
        <v>76293</v>
      </c>
      <c r="S37" s="248">
        <f t="shared" si="14"/>
        <v>54812</v>
      </c>
      <c r="T37" s="192"/>
      <c r="U37" s="248">
        <f>$D$23*ParâmeetrosTRU!AB49</f>
        <v>915862.00000000023</v>
      </c>
      <c r="V37" s="248">
        <v>46584</v>
      </c>
      <c r="W37" s="248">
        <v>0</v>
      </c>
      <c r="X37" s="248">
        <f t="shared" si="10"/>
        <v>177689</v>
      </c>
      <c r="Y37" s="248">
        <f t="shared" si="11"/>
        <v>915862.00000000023</v>
      </c>
      <c r="Z37" s="248">
        <f t="shared" si="8"/>
        <v>1093551.0000000002</v>
      </c>
      <c r="AA37" s="248">
        <f t="shared" si="12"/>
        <v>2125358.0000000009</v>
      </c>
      <c r="AB37" s="248">
        <f>SimulTRU2!CK49</f>
        <v>1031807.0000000006</v>
      </c>
      <c r="AC37" s="139"/>
      <c r="AD37" s="231">
        <f t="shared" si="13"/>
        <v>0</v>
      </c>
      <c r="AE37" s="231">
        <f t="shared" si="9"/>
        <v>0</v>
      </c>
      <c r="AF37" s="231">
        <f t="shared" si="9"/>
        <v>0</v>
      </c>
      <c r="AG37" s="231">
        <f t="shared" si="9"/>
        <v>2.2204460492503131E-16</v>
      </c>
      <c r="AH37" s="231">
        <f t="shared" si="9"/>
        <v>0</v>
      </c>
      <c r="AI37" s="231">
        <f t="shared" si="9"/>
        <v>0</v>
      </c>
      <c r="AJ37" s="231">
        <f t="shared" si="9"/>
        <v>0</v>
      </c>
      <c r="AK37" s="231">
        <f t="shared" si="9"/>
        <v>2.2204460492503131E-16</v>
      </c>
      <c r="AL37" s="231">
        <f t="shared" si="9"/>
        <v>2.2204460492503131E-16</v>
      </c>
      <c r="AM37" s="231">
        <f t="shared" si="9"/>
        <v>4.4408920985006262E-16</v>
      </c>
    </row>
    <row r="38" spans="1:39" ht="25.5" thickBot="1">
      <c r="C38" s="242" t="s">
        <v>413</v>
      </c>
      <c r="D38" s="242" t="s">
        <v>414</v>
      </c>
      <c r="E38" s="242" t="s">
        <v>413</v>
      </c>
      <c r="F38" s="242" t="s">
        <v>414</v>
      </c>
      <c r="G38" s="242" t="s">
        <v>413</v>
      </c>
      <c r="H38" s="242" t="s">
        <v>414</v>
      </c>
      <c r="I38" s="242" t="s">
        <v>413</v>
      </c>
      <c r="J38" s="242" t="s">
        <v>414</v>
      </c>
      <c r="K38" s="242" t="s">
        <v>557</v>
      </c>
      <c r="L38" s="242" t="s">
        <v>558</v>
      </c>
      <c r="N38" s="230" t="s">
        <v>540</v>
      </c>
      <c r="O38" s="230" t="s">
        <v>541</v>
      </c>
      <c r="P38" s="127" t="s">
        <v>564</v>
      </c>
      <c r="R38" s="248">
        <f t="shared" si="14"/>
        <v>0</v>
      </c>
      <c r="S38" s="248">
        <f t="shared" si="14"/>
        <v>1465281</v>
      </c>
      <c r="T38" s="192"/>
      <c r="U38" s="248">
        <f>$D$23*ParâmeetrosTRU!AB50</f>
        <v>0</v>
      </c>
      <c r="V38" s="248">
        <v>0</v>
      </c>
      <c r="W38" s="248">
        <v>0</v>
      </c>
      <c r="X38" s="248">
        <f t="shared" si="10"/>
        <v>1465281</v>
      </c>
      <c r="Y38" s="248">
        <f t="shared" si="11"/>
        <v>0</v>
      </c>
      <c r="Z38" s="248">
        <f t="shared" si="8"/>
        <v>1465281</v>
      </c>
      <c r="AA38" s="248">
        <f t="shared" si="12"/>
        <v>1465281</v>
      </c>
      <c r="AB38" s="248">
        <f>SimulTRU2!CK50</f>
        <v>0</v>
      </c>
      <c r="AC38" s="139"/>
      <c r="AD38" s="231">
        <f t="shared" si="13"/>
        <v>0</v>
      </c>
      <c r="AE38" s="231">
        <f t="shared" si="9"/>
        <v>0</v>
      </c>
      <c r="AF38" s="231">
        <f t="shared" si="9"/>
        <v>0</v>
      </c>
      <c r="AG38" s="231">
        <f t="shared" si="9"/>
        <v>0</v>
      </c>
      <c r="AH38" s="231">
        <f t="shared" si="9"/>
        <v>0</v>
      </c>
      <c r="AI38" s="231">
        <f t="shared" si="9"/>
        <v>0</v>
      </c>
      <c r="AJ38" s="231">
        <f t="shared" si="9"/>
        <v>0</v>
      </c>
      <c r="AK38" s="231">
        <f t="shared" si="9"/>
        <v>0</v>
      </c>
      <c r="AL38" s="231">
        <f t="shared" si="9"/>
        <v>0</v>
      </c>
      <c r="AM38" s="231">
        <f t="shared" si="9"/>
        <v>0</v>
      </c>
    </row>
    <row r="39" spans="1:39" ht="17.25" thickTop="1">
      <c r="B39" s="131" t="s">
        <v>98</v>
      </c>
      <c r="C39" s="258">
        <f>IFERROR(C7/C71-1,0)</f>
        <v>0</v>
      </c>
      <c r="D39" s="259">
        <f t="shared" ref="D39:O39" si="15">IFERROR(D7/D71-1,0)</f>
        <v>0</v>
      </c>
      <c r="E39" s="260">
        <f t="shared" si="15"/>
        <v>0</v>
      </c>
      <c r="F39" s="261">
        <f t="shared" si="15"/>
        <v>0</v>
      </c>
      <c r="G39" s="260">
        <f t="shared" si="15"/>
        <v>1.1102230246251565E-15</v>
      </c>
      <c r="H39" s="261">
        <f t="shared" si="15"/>
        <v>0</v>
      </c>
      <c r="I39" s="260">
        <f t="shared" si="15"/>
        <v>4.4408920985006262E-16</v>
      </c>
      <c r="J39" s="261">
        <f t="shared" si="15"/>
        <v>0</v>
      </c>
      <c r="K39" s="262">
        <f t="shared" si="15"/>
        <v>6.6613381477509392E-16</v>
      </c>
      <c r="L39" s="261">
        <f t="shared" si="15"/>
        <v>0</v>
      </c>
      <c r="M39" s="261">
        <f t="shared" si="15"/>
        <v>4.4408920985006262E-16</v>
      </c>
      <c r="N39" s="261">
        <f t="shared" si="15"/>
        <v>4.4408920985006262E-16</v>
      </c>
      <c r="O39" s="261">
        <f t="shared" si="15"/>
        <v>6.6613381477509392E-16</v>
      </c>
      <c r="P39" s="261">
        <f>P7-P71</f>
        <v>-9.540979117872439E-17</v>
      </c>
      <c r="R39" s="252">
        <f>SUM(R27:R38)</f>
        <v>1252049</v>
      </c>
      <c r="S39" s="252">
        <f>SUM(S27:S38)</f>
        <v>1532204</v>
      </c>
      <c r="T39" s="253"/>
      <c r="U39" s="252">
        <f t="shared" ref="U39:AA39" si="16">SUM(U27:U38)</f>
        <v>4805004.0000000009</v>
      </c>
      <c r="V39" s="252">
        <f t="shared" si="16"/>
        <v>1260227</v>
      </c>
      <c r="W39" s="252">
        <f t="shared" si="16"/>
        <v>-33878</v>
      </c>
      <c r="X39" s="252">
        <f t="shared" si="16"/>
        <v>4010602</v>
      </c>
      <c r="Y39" s="252">
        <f t="shared" si="16"/>
        <v>4805004.0000000009</v>
      </c>
      <c r="Z39" s="252">
        <f t="shared" si="16"/>
        <v>8815606</v>
      </c>
      <c r="AA39" s="277">
        <f t="shared" si="16"/>
        <v>15526868.000000004</v>
      </c>
      <c r="AB39" s="276"/>
      <c r="AC39" s="158"/>
      <c r="AD39" s="257">
        <f t="shared" si="13"/>
        <v>0</v>
      </c>
      <c r="AE39" s="257">
        <f t="shared" si="9"/>
        <v>0</v>
      </c>
      <c r="AF39" s="257">
        <f t="shared" si="9"/>
        <v>0</v>
      </c>
      <c r="AG39" s="257">
        <f t="shared" si="9"/>
        <v>2.2204460492503131E-16</v>
      </c>
      <c r="AH39" s="257">
        <f t="shared" si="9"/>
        <v>0</v>
      </c>
      <c r="AI39" s="257">
        <f t="shared" si="9"/>
        <v>0</v>
      </c>
      <c r="AJ39" s="257">
        <f t="shared" si="9"/>
        <v>0</v>
      </c>
      <c r="AK39" s="257">
        <f t="shared" si="9"/>
        <v>2.2204460492503131E-16</v>
      </c>
      <c r="AL39" s="257">
        <f t="shared" si="9"/>
        <v>0</v>
      </c>
      <c r="AM39" s="257">
        <f t="shared" si="9"/>
        <v>4.4408920985006262E-16</v>
      </c>
    </row>
    <row r="40" spans="1:39">
      <c r="A40" s="367" t="s">
        <v>555</v>
      </c>
      <c r="B40" s="132" t="s">
        <v>389</v>
      </c>
      <c r="C40" s="263">
        <f t="shared" ref="C40:M55" si="17">IFERROR(C8/C72-1,0)</f>
        <v>4.4408920985006262E-16</v>
      </c>
      <c r="D40" s="264">
        <f t="shared" si="17"/>
        <v>0</v>
      </c>
      <c r="E40" s="265">
        <f t="shared" si="17"/>
        <v>0</v>
      </c>
      <c r="F40" s="244">
        <f t="shared" si="17"/>
        <v>0</v>
      </c>
      <c r="G40" s="265">
        <f t="shared" si="17"/>
        <v>0</v>
      </c>
      <c r="H40" s="244">
        <f t="shared" si="17"/>
        <v>8.8817841970012523E-16</v>
      </c>
      <c r="I40" s="266">
        <f t="shared" si="17"/>
        <v>0</v>
      </c>
      <c r="J40" s="244">
        <f t="shared" si="17"/>
        <v>4.4408920985006262E-16</v>
      </c>
      <c r="K40" s="266">
        <f t="shared" si="17"/>
        <v>0</v>
      </c>
      <c r="L40" s="244">
        <f t="shared" si="17"/>
        <v>0</v>
      </c>
      <c r="M40" s="158">
        <v>2.9103830456733704E-11</v>
      </c>
    </row>
    <row r="41" spans="1:39" ht="9" thickBot="1">
      <c r="A41" s="367"/>
      <c r="B41" s="133" t="s">
        <v>28</v>
      </c>
      <c r="C41" s="250">
        <f t="shared" si="17"/>
        <v>4.4408920985006262E-16</v>
      </c>
      <c r="D41" s="246">
        <f t="shared" si="17"/>
        <v>0</v>
      </c>
      <c r="E41" s="267">
        <f t="shared" si="17"/>
        <v>0</v>
      </c>
      <c r="F41" s="245">
        <f t="shared" si="17"/>
        <v>0</v>
      </c>
      <c r="G41" s="267">
        <f t="shared" si="17"/>
        <v>0</v>
      </c>
      <c r="H41" s="245">
        <f t="shared" si="17"/>
        <v>1.1102230246251565E-15</v>
      </c>
      <c r="I41" s="251">
        <f t="shared" si="17"/>
        <v>0</v>
      </c>
      <c r="J41" s="245">
        <f t="shared" si="17"/>
        <v>4.4408920985006262E-16</v>
      </c>
      <c r="K41" s="251">
        <f t="shared" si="17"/>
        <v>0</v>
      </c>
      <c r="L41" s="245">
        <f t="shared" si="17"/>
        <v>0</v>
      </c>
      <c r="M41" s="158">
        <v>1.4551915228366852E-11</v>
      </c>
    </row>
    <row r="42" spans="1:39" ht="9" thickTop="1">
      <c r="A42" s="367"/>
      <c r="B42" s="133" t="s">
        <v>542</v>
      </c>
      <c r="C42" s="250">
        <f t="shared" si="17"/>
        <v>0</v>
      </c>
      <c r="D42" s="246">
        <f t="shared" si="17"/>
        <v>0</v>
      </c>
      <c r="E42" s="267">
        <f t="shared" si="17"/>
        <v>0</v>
      </c>
      <c r="F42" s="245">
        <f t="shared" si="17"/>
        <v>0</v>
      </c>
      <c r="G42" s="267">
        <f t="shared" si="17"/>
        <v>0</v>
      </c>
      <c r="H42" s="245">
        <f t="shared" si="17"/>
        <v>0</v>
      </c>
      <c r="I42" s="251">
        <f t="shared" si="17"/>
        <v>0</v>
      </c>
      <c r="J42" s="245">
        <f t="shared" si="17"/>
        <v>0</v>
      </c>
      <c r="K42" s="251">
        <f t="shared" si="17"/>
        <v>0</v>
      </c>
      <c r="L42" s="245">
        <f t="shared" si="17"/>
        <v>0</v>
      </c>
      <c r="M42" s="158">
        <v>0</v>
      </c>
      <c r="R42" s="424" t="s">
        <v>518</v>
      </c>
      <c r="S42" s="424" t="s">
        <v>519</v>
      </c>
      <c r="T42" s="421"/>
      <c r="U42" s="421" t="s">
        <v>521</v>
      </c>
      <c r="V42" s="421" t="s">
        <v>522</v>
      </c>
      <c r="W42" s="421" t="s">
        <v>523</v>
      </c>
      <c r="X42" s="421" t="s">
        <v>562</v>
      </c>
      <c r="Y42" s="421" t="s">
        <v>561</v>
      </c>
      <c r="Z42" s="421" t="s">
        <v>516</v>
      </c>
      <c r="AA42" s="421" t="s">
        <v>563</v>
      </c>
      <c r="AB42" s="275"/>
    </row>
    <row r="43" spans="1:39">
      <c r="A43" s="367"/>
      <c r="B43" s="134" t="s">
        <v>19</v>
      </c>
      <c r="C43" s="250">
        <f t="shared" si="17"/>
        <v>0</v>
      </c>
      <c r="D43" s="246">
        <f t="shared" si="17"/>
        <v>0</v>
      </c>
      <c r="E43" s="267">
        <f t="shared" si="17"/>
        <v>2.2204460492503131E-16</v>
      </c>
      <c r="F43" s="245">
        <f t="shared" si="17"/>
        <v>0</v>
      </c>
      <c r="G43" s="267">
        <f t="shared" si="17"/>
        <v>0</v>
      </c>
      <c r="H43" s="245">
        <f t="shared" si="17"/>
        <v>8.8817841970012523E-16</v>
      </c>
      <c r="I43" s="251">
        <f t="shared" si="17"/>
        <v>0</v>
      </c>
      <c r="J43" s="245">
        <f t="shared" si="17"/>
        <v>4.4408920985006262E-16</v>
      </c>
      <c r="K43" s="251">
        <f t="shared" si="17"/>
        <v>0</v>
      </c>
      <c r="L43" s="245">
        <f t="shared" si="17"/>
        <v>0</v>
      </c>
      <c r="M43" s="158">
        <v>1.4551915228366852E-11</v>
      </c>
      <c r="R43" s="425"/>
      <c r="S43" s="425"/>
      <c r="T43" s="422"/>
      <c r="U43" s="422"/>
      <c r="V43" s="427"/>
      <c r="W43" s="427"/>
      <c r="X43" s="422"/>
      <c r="Y43" s="422"/>
      <c r="Z43" s="422"/>
      <c r="AA43" s="422"/>
      <c r="AB43" s="275"/>
    </row>
    <row r="44" spans="1:39" ht="16.5">
      <c r="A44" s="367"/>
      <c r="B44" s="135" t="s">
        <v>34</v>
      </c>
      <c r="C44" s="268">
        <f t="shared" si="17"/>
        <v>0</v>
      </c>
      <c r="D44" s="269">
        <f t="shared" si="17"/>
        <v>0</v>
      </c>
      <c r="E44" s="270">
        <f t="shared" si="17"/>
        <v>2.2204460492503131E-16</v>
      </c>
      <c r="F44" s="271">
        <f t="shared" si="17"/>
        <v>0</v>
      </c>
      <c r="G44" s="270">
        <f t="shared" si="17"/>
        <v>0</v>
      </c>
      <c r="H44" s="271">
        <f t="shared" si="17"/>
        <v>8.8817841970012523E-16</v>
      </c>
      <c r="I44" s="272">
        <f t="shared" si="17"/>
        <v>0</v>
      </c>
      <c r="J44" s="271">
        <f t="shared" si="17"/>
        <v>8.8817841970012523E-16</v>
      </c>
      <c r="K44" s="272">
        <f t="shared" si="17"/>
        <v>0</v>
      </c>
      <c r="L44" s="271">
        <f t="shared" si="17"/>
        <v>0</v>
      </c>
      <c r="M44" s="158">
        <v>1.8189894035458565E-12</v>
      </c>
      <c r="R44" s="425"/>
      <c r="S44" s="425"/>
      <c r="T44" s="422"/>
      <c r="U44" s="422"/>
      <c r="V44" s="427"/>
      <c r="W44" s="427"/>
      <c r="X44" s="422"/>
      <c r="Y44" s="422"/>
      <c r="Z44" s="422"/>
      <c r="AA44" s="422"/>
      <c r="AB44" s="275"/>
    </row>
    <row r="45" spans="1:39" ht="9" thickBot="1">
      <c r="A45" s="367" t="s">
        <v>556</v>
      </c>
      <c r="B45" s="132" t="s">
        <v>40</v>
      </c>
      <c r="C45" s="263">
        <f t="shared" si="17"/>
        <v>0</v>
      </c>
      <c r="D45" s="264">
        <f t="shared" si="17"/>
        <v>0</v>
      </c>
      <c r="E45" s="265">
        <f t="shared" si="17"/>
        <v>0</v>
      </c>
      <c r="F45" s="244">
        <f t="shared" si="17"/>
        <v>0</v>
      </c>
      <c r="G45" s="265">
        <f t="shared" si="17"/>
        <v>0</v>
      </c>
      <c r="H45" s="244">
        <f t="shared" si="17"/>
        <v>0</v>
      </c>
      <c r="I45" s="265">
        <f t="shared" si="17"/>
        <v>0</v>
      </c>
      <c r="J45" s="244">
        <f t="shared" si="17"/>
        <v>0</v>
      </c>
      <c r="K45" s="266">
        <f t="shared" si="17"/>
        <v>0</v>
      </c>
      <c r="L45" s="244">
        <f t="shared" si="17"/>
        <v>0</v>
      </c>
      <c r="M45" s="158">
        <v>0</v>
      </c>
      <c r="R45" s="426"/>
      <c r="S45" s="426"/>
      <c r="T45" s="423"/>
      <c r="U45" s="423"/>
      <c r="V45" s="428"/>
      <c r="W45" s="428"/>
      <c r="X45" s="423"/>
      <c r="Y45" s="423"/>
      <c r="Z45" s="423"/>
      <c r="AA45" s="423"/>
      <c r="AB45" s="275"/>
    </row>
    <row r="46" spans="1:39" ht="9" thickTop="1">
      <c r="A46" s="367"/>
      <c r="B46" s="133" t="s">
        <v>408</v>
      </c>
      <c r="C46" s="250">
        <f t="shared" si="17"/>
        <v>0</v>
      </c>
      <c r="D46" s="246">
        <f t="shared" si="17"/>
        <v>0</v>
      </c>
      <c r="E46" s="267">
        <f t="shared" si="17"/>
        <v>0</v>
      </c>
      <c r="F46" s="245">
        <f t="shared" si="17"/>
        <v>0</v>
      </c>
      <c r="G46" s="267">
        <f t="shared" si="17"/>
        <v>0</v>
      </c>
      <c r="H46" s="245">
        <f t="shared" si="17"/>
        <v>0</v>
      </c>
      <c r="I46" s="267">
        <f t="shared" si="17"/>
        <v>0</v>
      </c>
      <c r="J46" s="245">
        <f t="shared" si="17"/>
        <v>0</v>
      </c>
      <c r="K46" s="251">
        <f t="shared" si="17"/>
        <v>-1.2212453270876722E-15</v>
      </c>
      <c r="L46" s="245">
        <f t="shared" si="17"/>
        <v>0</v>
      </c>
      <c r="M46" s="158">
        <v>0</v>
      </c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</row>
    <row r="47" spans="1:39">
      <c r="A47" s="367"/>
      <c r="B47" s="133" t="s">
        <v>392</v>
      </c>
      <c r="C47" s="250">
        <f t="shared" si="17"/>
        <v>0</v>
      </c>
      <c r="D47" s="246">
        <f t="shared" si="17"/>
        <v>0</v>
      </c>
      <c r="E47" s="267">
        <f t="shared" si="17"/>
        <v>0</v>
      </c>
      <c r="F47" s="245">
        <f t="shared" si="17"/>
        <v>0</v>
      </c>
      <c r="G47" s="267">
        <f t="shared" si="17"/>
        <v>0</v>
      </c>
      <c r="H47" s="245">
        <f t="shared" si="17"/>
        <v>0</v>
      </c>
      <c r="I47" s="267">
        <f t="shared" si="17"/>
        <v>0</v>
      </c>
      <c r="J47" s="245">
        <f t="shared" si="17"/>
        <v>0</v>
      </c>
      <c r="K47" s="251">
        <f t="shared" si="17"/>
        <v>0</v>
      </c>
      <c r="L47" s="245">
        <f t="shared" si="17"/>
        <v>0</v>
      </c>
      <c r="M47" s="158">
        <v>0</v>
      </c>
      <c r="R47" s="248">
        <v>241683</v>
      </c>
      <c r="S47" s="248">
        <v>230</v>
      </c>
      <c r="T47" s="192"/>
      <c r="U47" s="248">
        <v>212694.00000000003</v>
      </c>
      <c r="V47" s="248">
        <v>22310</v>
      </c>
      <c r="W47" s="248">
        <v>-2694</v>
      </c>
      <c r="X47" s="248">
        <v>261529</v>
      </c>
      <c r="Y47" s="248">
        <v>212694</v>
      </c>
      <c r="Z47" s="248">
        <v>474223</v>
      </c>
      <c r="AA47" s="248">
        <v>938989</v>
      </c>
      <c r="AB47" s="248"/>
    </row>
    <row r="48" spans="1:39">
      <c r="A48" s="367"/>
      <c r="B48" s="133" t="s">
        <v>401</v>
      </c>
      <c r="C48" s="250">
        <f t="shared" si="17"/>
        <v>0</v>
      </c>
      <c r="D48" s="246">
        <f t="shared" si="17"/>
        <v>0</v>
      </c>
      <c r="E48" s="267">
        <f t="shared" si="17"/>
        <v>0</v>
      </c>
      <c r="F48" s="245">
        <f t="shared" si="17"/>
        <v>0</v>
      </c>
      <c r="G48" s="267">
        <f t="shared" si="17"/>
        <v>0</v>
      </c>
      <c r="H48" s="245">
        <f t="shared" si="17"/>
        <v>0</v>
      </c>
      <c r="I48" s="267">
        <f t="shared" si="17"/>
        <v>0</v>
      </c>
      <c r="J48" s="245">
        <f t="shared" si="17"/>
        <v>0</v>
      </c>
      <c r="K48" s="251">
        <f t="shared" si="17"/>
        <v>0</v>
      </c>
      <c r="L48" s="245">
        <f t="shared" si="17"/>
        <v>0</v>
      </c>
      <c r="M48" s="158">
        <v>0</v>
      </c>
      <c r="R48" s="248">
        <v>253114</v>
      </c>
      <c r="S48" s="248">
        <v>0</v>
      </c>
      <c r="T48" s="192"/>
      <c r="U48" s="248">
        <v>0</v>
      </c>
      <c r="V48" s="248">
        <v>10455</v>
      </c>
      <c r="W48" s="248">
        <v>-27501</v>
      </c>
      <c r="X48" s="248">
        <v>236068</v>
      </c>
      <c r="Y48" s="248">
        <v>0</v>
      </c>
      <c r="Z48" s="248">
        <v>236068</v>
      </c>
      <c r="AA48" s="248">
        <v>474640.99999999994</v>
      </c>
      <c r="AB48" s="248"/>
    </row>
    <row r="49" spans="1:28">
      <c r="A49" s="367"/>
      <c r="B49" s="243" t="s">
        <v>288</v>
      </c>
      <c r="C49" s="268">
        <f t="shared" si="17"/>
        <v>0</v>
      </c>
      <c r="D49" s="269">
        <f t="shared" si="17"/>
        <v>0</v>
      </c>
      <c r="E49" s="270">
        <f t="shared" si="17"/>
        <v>0</v>
      </c>
      <c r="F49" s="271">
        <f t="shared" si="17"/>
        <v>0</v>
      </c>
      <c r="G49" s="270">
        <f t="shared" si="17"/>
        <v>0</v>
      </c>
      <c r="H49" s="271">
        <f t="shared" si="17"/>
        <v>0</v>
      </c>
      <c r="I49" s="270">
        <f t="shared" si="17"/>
        <v>0</v>
      </c>
      <c r="J49" s="271">
        <f t="shared" si="17"/>
        <v>0</v>
      </c>
      <c r="K49" s="272">
        <f t="shared" si="17"/>
        <v>0</v>
      </c>
      <c r="L49" s="271">
        <f t="shared" si="17"/>
        <v>0</v>
      </c>
      <c r="M49" s="158">
        <v>0</v>
      </c>
      <c r="R49" s="248">
        <v>611468</v>
      </c>
      <c r="S49" s="248">
        <v>9716</v>
      </c>
      <c r="T49" s="192"/>
      <c r="U49" s="248">
        <v>2148705</v>
      </c>
      <c r="V49" s="248">
        <v>523356</v>
      </c>
      <c r="W49" s="248">
        <v>-2168</v>
      </c>
      <c r="X49" s="248">
        <v>1142372</v>
      </c>
      <c r="Y49" s="248">
        <v>2148705</v>
      </c>
      <c r="Z49" s="248">
        <v>3291077</v>
      </c>
      <c r="AA49" s="248">
        <v>6468661.9999999991</v>
      </c>
      <c r="AB49" s="248"/>
    </row>
    <row r="50" spans="1:28" ht="16.5">
      <c r="A50" s="367" t="s">
        <v>553</v>
      </c>
      <c r="B50" s="159" t="s">
        <v>453</v>
      </c>
      <c r="C50" s="250">
        <f t="shared" si="17"/>
        <v>0</v>
      </c>
      <c r="D50" s="246">
        <f t="shared" si="17"/>
        <v>0</v>
      </c>
      <c r="E50" s="267">
        <f t="shared" si="17"/>
        <v>0</v>
      </c>
      <c r="F50" s="245">
        <f t="shared" si="17"/>
        <v>0</v>
      </c>
      <c r="G50" s="267">
        <f t="shared" si="17"/>
        <v>0</v>
      </c>
      <c r="H50" s="246">
        <f t="shared" si="17"/>
        <v>0</v>
      </c>
      <c r="I50" s="267">
        <f t="shared" si="17"/>
        <v>0</v>
      </c>
      <c r="J50" s="246">
        <f t="shared" si="17"/>
        <v>-1.1102230246251565E-16</v>
      </c>
      <c r="K50" s="251">
        <f t="shared" si="17"/>
        <v>0</v>
      </c>
      <c r="L50" s="245">
        <f t="shared" si="17"/>
        <v>0</v>
      </c>
      <c r="M50" s="158">
        <v>0</v>
      </c>
      <c r="R50" s="248">
        <v>2</v>
      </c>
      <c r="S50" s="248">
        <v>0</v>
      </c>
      <c r="T50" s="192"/>
      <c r="U50" s="248">
        <v>186576</v>
      </c>
      <c r="V50" s="248">
        <v>0</v>
      </c>
      <c r="W50" s="248">
        <v>-60</v>
      </c>
      <c r="X50" s="248">
        <v>-58</v>
      </c>
      <c r="Y50" s="248">
        <v>186576</v>
      </c>
      <c r="Z50" s="248">
        <v>186518</v>
      </c>
      <c r="AA50" s="248">
        <v>532995.99999999977</v>
      </c>
      <c r="AB50" s="248"/>
    </row>
    <row r="51" spans="1:28">
      <c r="A51" s="367"/>
      <c r="B51" s="134" t="s">
        <v>50</v>
      </c>
      <c r="C51" s="250">
        <f t="shared" si="17"/>
        <v>0</v>
      </c>
      <c r="D51" s="246">
        <f t="shared" si="17"/>
        <v>0</v>
      </c>
      <c r="E51" s="267">
        <f t="shared" si="17"/>
        <v>0</v>
      </c>
      <c r="F51" s="245">
        <f t="shared" si="17"/>
        <v>0</v>
      </c>
      <c r="G51" s="267">
        <f t="shared" si="17"/>
        <v>0</v>
      </c>
      <c r="H51" s="245">
        <f t="shared" si="17"/>
        <v>0</v>
      </c>
      <c r="I51" s="267">
        <f t="shared" si="17"/>
        <v>0</v>
      </c>
      <c r="J51" s="245">
        <f t="shared" si="17"/>
        <v>0</v>
      </c>
      <c r="K51" s="251">
        <f t="shared" si="17"/>
        <v>0</v>
      </c>
      <c r="L51" s="245">
        <f t="shared" si="17"/>
        <v>0</v>
      </c>
      <c r="M51" s="158">
        <v>0</v>
      </c>
      <c r="R51" s="248">
        <v>3481</v>
      </c>
      <c r="S51" s="248">
        <v>0</v>
      </c>
      <c r="T51" s="192"/>
      <c r="U51" s="248">
        <v>0</v>
      </c>
      <c r="V51" s="248">
        <v>556609</v>
      </c>
      <c r="W51" s="248">
        <v>0</v>
      </c>
      <c r="X51" s="248">
        <v>560090</v>
      </c>
      <c r="Y51" s="248">
        <v>0</v>
      </c>
      <c r="Z51" s="248">
        <v>560090</v>
      </c>
      <c r="AA51" s="248">
        <v>683264.00000000035</v>
      </c>
      <c r="AB51" s="248"/>
    </row>
    <row r="52" spans="1:28" ht="16.5">
      <c r="A52" s="367"/>
      <c r="B52" s="134" t="s">
        <v>455</v>
      </c>
      <c r="C52" s="250">
        <f t="shared" si="17"/>
        <v>0</v>
      </c>
      <c r="D52" s="246">
        <f t="shared" si="17"/>
        <v>0</v>
      </c>
      <c r="E52" s="267">
        <f t="shared" si="17"/>
        <v>0</v>
      </c>
      <c r="F52" s="245">
        <f t="shared" si="17"/>
        <v>0</v>
      </c>
      <c r="G52" s="267">
        <f t="shared" si="17"/>
        <v>0</v>
      </c>
      <c r="H52" s="245">
        <f t="shared" si="17"/>
        <v>0</v>
      </c>
      <c r="I52" s="267">
        <f t="shared" si="17"/>
        <v>0</v>
      </c>
      <c r="J52" s="245">
        <f t="shared" si="17"/>
        <v>0</v>
      </c>
      <c r="K52" s="251">
        <f t="shared" si="17"/>
        <v>0</v>
      </c>
      <c r="L52" s="245">
        <f t="shared" si="17"/>
        <v>0</v>
      </c>
      <c r="M52" s="158">
        <v>0</v>
      </c>
      <c r="R52" s="248">
        <v>4676</v>
      </c>
      <c r="S52" s="248">
        <v>0</v>
      </c>
      <c r="T52" s="192"/>
      <c r="U52" s="248">
        <v>55912</v>
      </c>
      <c r="V52" s="248">
        <v>0</v>
      </c>
      <c r="W52" s="248">
        <v>0</v>
      </c>
      <c r="X52" s="248">
        <v>4676</v>
      </c>
      <c r="Y52" s="248">
        <v>55912</v>
      </c>
      <c r="Z52" s="248">
        <v>60588</v>
      </c>
      <c r="AA52" s="248">
        <v>140736.99999999994</v>
      </c>
      <c r="AB52" s="248"/>
    </row>
    <row r="53" spans="1:28">
      <c r="A53" s="367"/>
      <c r="B53" s="134" t="s">
        <v>456</v>
      </c>
      <c r="C53" s="250">
        <f t="shared" si="17"/>
        <v>0</v>
      </c>
      <c r="D53" s="246">
        <f t="shared" si="17"/>
        <v>0</v>
      </c>
      <c r="E53" s="267">
        <f t="shared" si="17"/>
        <v>0</v>
      </c>
      <c r="F53" s="245">
        <f t="shared" si="17"/>
        <v>0</v>
      </c>
      <c r="G53" s="267">
        <f t="shared" si="17"/>
        <v>0</v>
      </c>
      <c r="H53" s="245">
        <f t="shared" si="17"/>
        <v>0</v>
      </c>
      <c r="I53" s="267">
        <f t="shared" si="17"/>
        <v>0</v>
      </c>
      <c r="J53" s="245">
        <f t="shared" si="17"/>
        <v>0</v>
      </c>
      <c r="K53" s="251">
        <f t="shared" si="17"/>
        <v>0</v>
      </c>
      <c r="L53" s="245">
        <f t="shared" si="17"/>
        <v>0</v>
      </c>
      <c r="M53" s="158">
        <v>0</v>
      </c>
      <c r="R53" s="248">
        <v>34419</v>
      </c>
      <c r="S53" s="248">
        <v>0</v>
      </c>
      <c r="T53" s="192"/>
      <c r="U53" s="248">
        <v>109783</v>
      </c>
      <c r="V53" s="248">
        <v>0</v>
      </c>
      <c r="W53" s="248">
        <v>0</v>
      </c>
      <c r="X53" s="248">
        <v>34419</v>
      </c>
      <c r="Y53" s="248">
        <v>109783</v>
      </c>
      <c r="Z53" s="248">
        <v>144202</v>
      </c>
      <c r="AA53" s="248">
        <v>568287.99999999977</v>
      </c>
      <c r="AB53" s="248"/>
    </row>
    <row r="54" spans="1:28">
      <c r="A54" s="367"/>
      <c r="B54" s="135" t="s">
        <v>65</v>
      </c>
      <c r="C54" s="268">
        <f t="shared" si="17"/>
        <v>0</v>
      </c>
      <c r="D54" s="269">
        <f t="shared" si="17"/>
        <v>0</v>
      </c>
      <c r="E54" s="270">
        <f t="shared" si="17"/>
        <v>0</v>
      </c>
      <c r="F54" s="271">
        <f t="shared" si="17"/>
        <v>0</v>
      </c>
      <c r="G54" s="270">
        <f t="shared" si="17"/>
        <v>0</v>
      </c>
      <c r="H54" s="271">
        <f t="shared" si="17"/>
        <v>0</v>
      </c>
      <c r="I54" s="270">
        <f t="shared" si="17"/>
        <v>0</v>
      </c>
      <c r="J54" s="271">
        <f t="shared" si="17"/>
        <v>0</v>
      </c>
      <c r="K54" s="272">
        <f t="shared" si="17"/>
        <v>0</v>
      </c>
      <c r="L54" s="271">
        <f t="shared" si="17"/>
        <v>0</v>
      </c>
      <c r="M54" s="158">
        <v>0</v>
      </c>
      <c r="O54" t="s">
        <v>516</v>
      </c>
      <c r="R54" s="248">
        <v>15282</v>
      </c>
      <c r="S54" s="248">
        <v>0</v>
      </c>
      <c r="T54" s="192"/>
      <c r="U54" s="248">
        <v>152610</v>
      </c>
      <c r="V54" s="248">
        <v>100913</v>
      </c>
      <c r="W54" s="248">
        <v>-1455</v>
      </c>
      <c r="X54" s="248">
        <v>114740</v>
      </c>
      <c r="Y54" s="248">
        <v>152610</v>
      </c>
      <c r="Z54" s="248">
        <v>267350</v>
      </c>
      <c r="AA54" s="248">
        <v>535540.99999999988</v>
      </c>
      <c r="AB54" s="248"/>
    </row>
    <row r="55" spans="1:28">
      <c r="A55" s="367" t="s">
        <v>554</v>
      </c>
      <c r="B55" s="134" t="s">
        <v>79</v>
      </c>
      <c r="C55" s="250">
        <f t="shared" si="17"/>
        <v>0</v>
      </c>
      <c r="D55" s="246">
        <f t="shared" si="17"/>
        <v>2.2204460492503131E-16</v>
      </c>
      <c r="E55" s="267">
        <f t="shared" si="17"/>
        <v>0</v>
      </c>
      <c r="F55" s="245">
        <f t="shared" si="17"/>
        <v>0</v>
      </c>
      <c r="G55" s="267">
        <f t="shared" si="17"/>
        <v>0</v>
      </c>
      <c r="H55" s="245">
        <f t="shared" si="17"/>
        <v>0</v>
      </c>
      <c r="I55" s="267">
        <f t="shared" si="17"/>
        <v>0</v>
      </c>
      <c r="J55" s="245">
        <f t="shared" si="17"/>
        <v>0</v>
      </c>
      <c r="K55" s="251">
        <f t="shared" si="17"/>
        <v>0</v>
      </c>
      <c r="L55" s="245">
        <f t="shared" si="17"/>
        <v>0</v>
      </c>
      <c r="M55" s="261">
        <f t="shared" si="17"/>
        <v>2.2204460492503131E-16</v>
      </c>
      <c r="O55" s="261">
        <f>IFERROR(O23/O87-1,0)</f>
        <v>0</v>
      </c>
      <c r="R55" s="248">
        <v>6943</v>
      </c>
      <c r="S55" s="248">
        <v>2165</v>
      </c>
      <c r="T55" s="192"/>
      <c r="U55" s="248">
        <v>379659</v>
      </c>
      <c r="V55" s="248">
        <v>0</v>
      </c>
      <c r="W55" s="248">
        <v>0</v>
      </c>
      <c r="X55" s="248">
        <v>9108</v>
      </c>
      <c r="Y55" s="248">
        <v>379659</v>
      </c>
      <c r="Z55" s="248">
        <v>388767</v>
      </c>
      <c r="AA55" s="248">
        <v>800075.99999999977</v>
      </c>
      <c r="AB55" s="248"/>
    </row>
    <row r="56" spans="1:28">
      <c r="A56" s="367"/>
      <c r="B56" s="134" t="s">
        <v>404</v>
      </c>
      <c r="C56" s="250">
        <f t="shared" ref="C56:M59" si="18">IFERROR(C24/C88-1,0)</f>
        <v>0</v>
      </c>
      <c r="D56" s="246">
        <f t="shared" si="18"/>
        <v>0</v>
      </c>
      <c r="E56" s="267">
        <f t="shared" si="18"/>
        <v>0</v>
      </c>
      <c r="F56" s="245">
        <f t="shared" si="18"/>
        <v>0</v>
      </c>
      <c r="G56" s="267">
        <f t="shared" si="18"/>
        <v>0</v>
      </c>
      <c r="H56" s="245">
        <f t="shared" si="18"/>
        <v>0</v>
      </c>
      <c r="I56" s="267">
        <f t="shared" si="18"/>
        <v>0</v>
      </c>
      <c r="J56" s="245">
        <f t="shared" si="18"/>
        <v>0</v>
      </c>
      <c r="K56" s="251">
        <f t="shared" si="18"/>
        <v>0</v>
      </c>
      <c r="L56" s="245">
        <f t="shared" si="18"/>
        <v>0</v>
      </c>
      <c r="M56" s="158">
        <v>0</v>
      </c>
      <c r="R56" s="248">
        <v>4688</v>
      </c>
      <c r="S56" s="248">
        <v>0</v>
      </c>
      <c r="T56" s="192"/>
      <c r="U56" s="248">
        <v>643203</v>
      </c>
      <c r="V56" s="248">
        <v>0</v>
      </c>
      <c r="W56" s="248">
        <v>0</v>
      </c>
      <c r="X56" s="248">
        <v>4688</v>
      </c>
      <c r="Y56" s="248">
        <v>643203</v>
      </c>
      <c r="Z56" s="248">
        <v>647891</v>
      </c>
      <c r="AA56" s="248">
        <v>793035.00000000012</v>
      </c>
      <c r="AB56" s="248"/>
    </row>
    <row r="57" spans="1:28">
      <c r="A57" s="367"/>
      <c r="B57" s="134" t="s">
        <v>87</v>
      </c>
      <c r="C57" s="250">
        <f t="shared" si="18"/>
        <v>0</v>
      </c>
      <c r="D57" s="246">
        <f t="shared" si="18"/>
        <v>2.2204460492503131E-16</v>
      </c>
      <c r="E57" s="267">
        <f t="shared" si="18"/>
        <v>0</v>
      </c>
      <c r="F57" s="245">
        <f t="shared" si="18"/>
        <v>0</v>
      </c>
      <c r="G57" s="267">
        <f t="shared" si="18"/>
        <v>0</v>
      </c>
      <c r="H57" s="245">
        <f t="shared" si="18"/>
        <v>0</v>
      </c>
      <c r="I57" s="267">
        <f t="shared" si="18"/>
        <v>0</v>
      </c>
      <c r="J57" s="245">
        <f t="shared" si="18"/>
        <v>0</v>
      </c>
      <c r="K57" s="251">
        <f t="shared" si="18"/>
        <v>0</v>
      </c>
      <c r="L57" s="245">
        <f t="shared" si="18"/>
        <v>0</v>
      </c>
      <c r="M57" s="261">
        <f t="shared" si="18"/>
        <v>0</v>
      </c>
      <c r="R57" s="248">
        <v>76293</v>
      </c>
      <c r="S57" s="248">
        <v>54812</v>
      </c>
      <c r="T57" s="192"/>
      <c r="U57" s="248">
        <v>915862</v>
      </c>
      <c r="V57" s="248">
        <v>46584</v>
      </c>
      <c r="W57" s="248">
        <v>0</v>
      </c>
      <c r="X57" s="248">
        <v>177689</v>
      </c>
      <c r="Y57" s="248">
        <v>915862</v>
      </c>
      <c r="Z57" s="248">
        <v>1093551</v>
      </c>
      <c r="AA57" s="248">
        <v>2125358</v>
      </c>
      <c r="AB57" s="248"/>
    </row>
    <row r="58" spans="1:28" ht="9" thickBot="1">
      <c r="A58" s="367"/>
      <c r="B58" s="134" t="s">
        <v>89</v>
      </c>
      <c r="C58" s="250">
        <f t="shared" si="18"/>
        <v>0</v>
      </c>
      <c r="D58" s="246">
        <f t="shared" si="18"/>
        <v>0</v>
      </c>
      <c r="E58" s="267">
        <f t="shared" si="18"/>
        <v>0</v>
      </c>
      <c r="F58" s="245">
        <f t="shared" si="18"/>
        <v>0</v>
      </c>
      <c r="G58" s="267">
        <f t="shared" si="18"/>
        <v>0</v>
      </c>
      <c r="H58" s="245">
        <f t="shared" si="18"/>
        <v>0</v>
      </c>
      <c r="I58" s="267">
        <f t="shared" si="18"/>
        <v>0</v>
      </c>
      <c r="J58" s="245">
        <f t="shared" si="18"/>
        <v>0</v>
      </c>
      <c r="K58" s="251">
        <f t="shared" si="18"/>
        <v>0</v>
      </c>
      <c r="L58" s="245">
        <f t="shared" si="18"/>
        <v>0</v>
      </c>
      <c r="M58" s="261">
        <f t="shared" si="18"/>
        <v>0</v>
      </c>
      <c r="R58" s="248">
        <v>0</v>
      </c>
      <c r="S58" s="248">
        <v>1465281</v>
      </c>
      <c r="T58" s="192"/>
      <c r="U58" s="248">
        <v>0</v>
      </c>
      <c r="V58" s="248">
        <v>0</v>
      </c>
      <c r="W58" s="248">
        <v>0</v>
      </c>
      <c r="X58" s="248">
        <v>1465281</v>
      </c>
      <c r="Y58" s="248">
        <v>0</v>
      </c>
      <c r="Z58" s="248">
        <v>1465281</v>
      </c>
      <c r="AA58" s="248">
        <v>1465281</v>
      </c>
      <c r="AB58" s="248"/>
    </row>
    <row r="59" spans="1:28" ht="17.25" thickTop="1">
      <c r="A59" s="367"/>
      <c r="B59" s="135" t="s">
        <v>410</v>
      </c>
      <c r="C59" s="268">
        <f t="shared" si="18"/>
        <v>0</v>
      </c>
      <c r="D59" s="269">
        <f t="shared" si="18"/>
        <v>0</v>
      </c>
      <c r="E59" s="270">
        <f t="shared" si="18"/>
        <v>0</v>
      </c>
      <c r="F59" s="271">
        <f t="shared" si="18"/>
        <v>0</v>
      </c>
      <c r="G59" s="270">
        <f t="shared" si="18"/>
        <v>0</v>
      </c>
      <c r="H59" s="271">
        <f t="shared" si="18"/>
        <v>0</v>
      </c>
      <c r="I59" s="270">
        <f t="shared" si="18"/>
        <v>0</v>
      </c>
      <c r="J59" s="271">
        <f t="shared" si="18"/>
        <v>0</v>
      </c>
      <c r="K59" s="251">
        <f t="shared" si="18"/>
        <v>0</v>
      </c>
      <c r="L59" s="245">
        <f t="shared" si="18"/>
        <v>0</v>
      </c>
      <c r="M59" s="158">
        <v>0</v>
      </c>
      <c r="R59" s="252">
        <v>1252049</v>
      </c>
      <c r="S59" s="252">
        <v>1532204</v>
      </c>
      <c r="T59" s="253"/>
      <c r="U59" s="252">
        <v>4805004</v>
      </c>
      <c r="V59" s="252">
        <v>1260227</v>
      </c>
      <c r="W59" s="252">
        <v>-33878</v>
      </c>
      <c r="X59" s="252">
        <v>4010602</v>
      </c>
      <c r="Y59" s="252">
        <v>4805004</v>
      </c>
      <c r="Z59" s="252">
        <v>8815606</v>
      </c>
      <c r="AA59" s="252">
        <v>15526867.999999998</v>
      </c>
      <c r="AB59" s="276"/>
    </row>
    <row r="60" spans="1:28" ht="16.5">
      <c r="B60" s="137" t="s">
        <v>189</v>
      </c>
      <c r="C60" s="419">
        <f>C28/C29-1</f>
        <v>0</v>
      </c>
      <c r="D60" s="420"/>
      <c r="E60" s="419">
        <f>E28/E29-1</f>
        <v>0</v>
      </c>
      <c r="F60" s="420"/>
      <c r="G60" s="419">
        <f>G28/G29-1</f>
        <v>0</v>
      </c>
      <c r="H60" s="420"/>
      <c r="I60" s="419">
        <f>I28/I29-1</f>
        <v>1.4876988529977098E-14</v>
      </c>
      <c r="J60" s="420"/>
      <c r="K60" s="419">
        <f>K28/K29-1</f>
        <v>-2.5979218776228663E-14</v>
      </c>
      <c r="L60" s="420"/>
      <c r="M60" s="158">
        <v>0</v>
      </c>
    </row>
    <row r="61" spans="1:28">
      <c r="B61" s="46" t="s">
        <v>415</v>
      </c>
      <c r="C61" s="364">
        <v>562272</v>
      </c>
      <c r="D61" s="360"/>
      <c r="E61" s="364">
        <v>-918009</v>
      </c>
      <c r="F61" s="360"/>
      <c r="G61" s="364">
        <v>149429</v>
      </c>
      <c r="H61" s="360"/>
      <c r="I61" s="364">
        <v>125770</v>
      </c>
      <c r="J61" s="360"/>
      <c r="K61" s="365">
        <v>80538</v>
      </c>
      <c r="L61" s="366"/>
      <c r="M61" s="158">
        <v>0</v>
      </c>
    </row>
    <row r="63" spans="1:28">
      <c r="D63" s="255">
        <v>0</v>
      </c>
      <c r="F63" s="255">
        <v>0</v>
      </c>
      <c r="H63" s="255">
        <v>0</v>
      </c>
      <c r="J63" s="255">
        <v>0</v>
      </c>
      <c r="L63" s="255">
        <v>0</v>
      </c>
    </row>
    <row r="66" spans="1:19">
      <c r="C66" s="313" t="s">
        <v>2</v>
      </c>
      <c r="D66" s="314"/>
      <c r="E66" s="313" t="s">
        <v>293</v>
      </c>
      <c r="F66" s="314"/>
      <c r="G66" s="313" t="s">
        <v>266</v>
      </c>
      <c r="H66" s="314"/>
      <c r="I66" s="313" t="s">
        <v>265</v>
      </c>
      <c r="J66" s="314"/>
      <c r="K66" s="313" t="s">
        <v>412</v>
      </c>
      <c r="L66" s="314"/>
    </row>
    <row r="67" spans="1:19">
      <c r="C67" s="315"/>
      <c r="D67" s="316"/>
      <c r="E67" s="315"/>
      <c r="F67" s="316"/>
      <c r="G67" s="315"/>
      <c r="H67" s="316"/>
      <c r="I67" s="315"/>
      <c r="J67" s="316"/>
      <c r="K67" s="315"/>
      <c r="L67" s="316"/>
    </row>
    <row r="68" spans="1:19">
      <c r="C68" s="315"/>
      <c r="D68" s="316"/>
      <c r="E68" s="315"/>
      <c r="F68" s="316"/>
      <c r="G68" s="315"/>
      <c r="H68" s="316"/>
      <c r="I68" s="315"/>
      <c r="J68" s="316"/>
      <c r="K68" s="315"/>
      <c r="L68" s="316"/>
      <c r="S68" t="s">
        <v>565</v>
      </c>
    </row>
    <row r="69" spans="1:19">
      <c r="C69" s="315"/>
      <c r="D69" s="316"/>
      <c r="E69" s="315"/>
      <c r="F69" s="316"/>
      <c r="G69" s="315"/>
      <c r="H69" s="316"/>
      <c r="I69" s="315"/>
      <c r="J69" s="316"/>
      <c r="K69" s="315"/>
      <c r="L69" s="316"/>
    </row>
    <row r="70" spans="1:19" ht="24.75">
      <c r="C70" s="242" t="s">
        <v>413</v>
      </c>
      <c r="D70" s="242" t="s">
        <v>414</v>
      </c>
      <c r="E70" s="242" t="s">
        <v>413</v>
      </c>
      <c r="F70" s="242" t="s">
        <v>414</v>
      </c>
      <c r="G70" s="242" t="s">
        <v>413</v>
      </c>
      <c r="H70" s="242" t="s">
        <v>414</v>
      </c>
      <c r="I70" s="242" t="s">
        <v>413</v>
      </c>
      <c r="J70" s="242" t="s">
        <v>414</v>
      </c>
      <c r="K70" s="242" t="s">
        <v>557</v>
      </c>
      <c r="L70" s="242" t="s">
        <v>558</v>
      </c>
      <c r="N70" s="230" t="s">
        <v>540</v>
      </c>
      <c r="O70" s="230" t="s">
        <v>541</v>
      </c>
      <c r="P70" s="127" t="s">
        <v>564</v>
      </c>
    </row>
    <row r="71" spans="1:19" ht="16.5">
      <c r="B71" s="131" t="s">
        <v>98</v>
      </c>
      <c r="C71" s="236">
        <v>0</v>
      </c>
      <c r="D71" s="237">
        <v>0</v>
      </c>
      <c r="E71" s="160">
        <v>0</v>
      </c>
      <c r="F71" s="150">
        <v>0</v>
      </c>
      <c r="G71" s="160">
        <v>454549.99999999988</v>
      </c>
      <c r="H71" s="150">
        <v>0</v>
      </c>
      <c r="I71" s="160">
        <v>7155047</v>
      </c>
      <c r="J71" s="150">
        <v>0</v>
      </c>
      <c r="K71" s="169">
        <v>1206008.9999999998</v>
      </c>
      <c r="L71" s="150">
        <v>1252049</v>
      </c>
      <c r="M71" s="151">
        <v>7563557</v>
      </c>
      <c r="N71" s="158">
        <v>7609597</v>
      </c>
      <c r="O71" s="158">
        <v>6662425</v>
      </c>
      <c r="P71" s="255">
        <f>(L71-K71)/N71</f>
        <v>6.0502546981134791E-3</v>
      </c>
    </row>
    <row r="72" spans="1:19">
      <c r="A72" s="367" t="s">
        <v>555</v>
      </c>
      <c r="B72" s="132" t="s">
        <v>389</v>
      </c>
      <c r="C72" s="240">
        <v>2531961</v>
      </c>
      <c r="D72" s="238">
        <v>0</v>
      </c>
      <c r="E72" s="152">
        <v>0</v>
      </c>
      <c r="F72" s="154">
        <v>0</v>
      </c>
      <c r="G72" s="152">
        <v>0</v>
      </c>
      <c r="H72" s="154">
        <v>140273.99999999997</v>
      </c>
      <c r="I72" s="153">
        <v>0</v>
      </c>
      <c r="J72" s="154">
        <v>2391687</v>
      </c>
      <c r="K72" s="153">
        <v>0</v>
      </c>
      <c r="L72" s="154">
        <v>0</v>
      </c>
      <c r="M72" s="158">
        <v>2.9103830456733704E-11</v>
      </c>
    </row>
    <row r="73" spans="1:19">
      <c r="A73" s="367"/>
      <c r="B73" s="133" t="s">
        <v>28</v>
      </c>
      <c r="C73" s="234">
        <v>562617</v>
      </c>
      <c r="D73" s="235">
        <v>0</v>
      </c>
      <c r="E73" s="155">
        <v>0</v>
      </c>
      <c r="F73" s="157">
        <v>0</v>
      </c>
      <c r="G73" s="155">
        <v>0</v>
      </c>
      <c r="H73" s="157">
        <v>41010.999999999985</v>
      </c>
      <c r="I73" s="156">
        <v>0</v>
      </c>
      <c r="J73" s="157">
        <v>521606</v>
      </c>
      <c r="K73" s="156">
        <v>0</v>
      </c>
      <c r="L73" s="157">
        <v>0</v>
      </c>
      <c r="M73" s="158">
        <v>1.4551915228366852E-11</v>
      </c>
    </row>
    <row r="74" spans="1:19">
      <c r="A74" s="367"/>
      <c r="B74" s="133" t="s">
        <v>542</v>
      </c>
      <c r="C74" s="234">
        <v>0</v>
      </c>
      <c r="D74" s="235">
        <v>0</v>
      </c>
      <c r="E74" s="155">
        <v>0</v>
      </c>
      <c r="F74" s="157">
        <v>0</v>
      </c>
      <c r="G74" s="155">
        <v>0</v>
      </c>
      <c r="H74" s="157">
        <v>0</v>
      </c>
      <c r="I74" s="156">
        <v>0</v>
      </c>
      <c r="J74" s="157">
        <v>0</v>
      </c>
      <c r="K74" s="156">
        <v>0</v>
      </c>
      <c r="L74" s="157">
        <v>0</v>
      </c>
      <c r="M74" s="158">
        <v>0</v>
      </c>
    </row>
    <row r="75" spans="1:19">
      <c r="A75" s="367"/>
      <c r="B75" s="134" t="s">
        <v>19</v>
      </c>
      <c r="C75" s="234">
        <v>0</v>
      </c>
      <c r="D75" s="235">
        <v>0</v>
      </c>
      <c r="E75" s="155">
        <v>1014659.9999999999</v>
      </c>
      <c r="F75" s="157">
        <v>0</v>
      </c>
      <c r="G75" s="155">
        <v>0</v>
      </c>
      <c r="H75" s="157">
        <v>67487.999999999985</v>
      </c>
      <c r="I75" s="156">
        <v>0</v>
      </c>
      <c r="J75" s="157">
        <v>947171.99999999988</v>
      </c>
      <c r="K75" s="156">
        <v>0</v>
      </c>
      <c r="L75" s="157">
        <v>0</v>
      </c>
      <c r="M75" s="158">
        <v>1.4551915228366852E-11</v>
      </c>
    </row>
    <row r="76" spans="1:19" ht="16.5">
      <c r="A76" s="367"/>
      <c r="B76" s="135" t="s">
        <v>34</v>
      </c>
      <c r="C76" s="241">
        <v>0</v>
      </c>
      <c r="D76" s="239">
        <v>0</v>
      </c>
      <c r="E76" s="166">
        <v>86390.999999999985</v>
      </c>
      <c r="F76" s="168">
        <v>0</v>
      </c>
      <c r="G76" s="166">
        <v>0</v>
      </c>
      <c r="H76" s="168">
        <v>9261.9999999999982</v>
      </c>
      <c r="I76" s="167">
        <v>0</v>
      </c>
      <c r="J76" s="168">
        <v>77128.999999999985</v>
      </c>
      <c r="K76" s="167">
        <v>0</v>
      </c>
      <c r="L76" s="168">
        <v>0</v>
      </c>
      <c r="M76" s="158">
        <v>1.8189894035458565E-12</v>
      </c>
    </row>
    <row r="77" spans="1:19">
      <c r="A77" s="367" t="s">
        <v>556</v>
      </c>
      <c r="B77" s="132" t="s">
        <v>40</v>
      </c>
      <c r="C77" s="240">
        <v>249546</v>
      </c>
      <c r="D77" s="238">
        <v>205143</v>
      </c>
      <c r="E77" s="152">
        <v>191053</v>
      </c>
      <c r="F77" s="154">
        <v>446981</v>
      </c>
      <c r="G77" s="152">
        <v>1235025</v>
      </c>
      <c r="H77" s="154">
        <v>1060460</v>
      </c>
      <c r="I77" s="152">
        <v>246213</v>
      </c>
      <c r="J77" s="154">
        <v>282899</v>
      </c>
      <c r="K77" s="153">
        <v>106219</v>
      </c>
      <c r="L77" s="154">
        <v>32573</v>
      </c>
      <c r="M77" s="158">
        <v>0</v>
      </c>
    </row>
    <row r="78" spans="1:19">
      <c r="A78" s="367"/>
      <c r="B78" s="133" t="s">
        <v>408</v>
      </c>
      <c r="C78" s="234">
        <v>1888670</v>
      </c>
      <c r="D78" s="235">
        <v>0</v>
      </c>
      <c r="E78" s="155">
        <v>0</v>
      </c>
      <c r="F78" s="157">
        <v>0</v>
      </c>
      <c r="G78" s="155">
        <v>0</v>
      </c>
      <c r="H78" s="157">
        <v>153250</v>
      </c>
      <c r="I78" s="155">
        <v>0</v>
      </c>
      <c r="J78" s="157">
        <v>1821126</v>
      </c>
      <c r="K78" s="156">
        <v>85706.000000000102</v>
      </c>
      <c r="L78" s="157">
        <v>0</v>
      </c>
      <c r="M78" s="158">
        <v>0</v>
      </c>
    </row>
    <row r="79" spans="1:19">
      <c r="A79" s="367"/>
      <c r="B79" s="133" t="s">
        <v>392</v>
      </c>
      <c r="C79" s="234">
        <v>0</v>
      </c>
      <c r="D79" s="235">
        <v>0</v>
      </c>
      <c r="E79" s="155">
        <v>0</v>
      </c>
      <c r="F79" s="157">
        <v>0</v>
      </c>
      <c r="G79" s="155">
        <v>0</v>
      </c>
      <c r="H79" s="157">
        <v>0</v>
      </c>
      <c r="I79" s="155">
        <v>0</v>
      </c>
      <c r="J79" s="157">
        <v>0</v>
      </c>
      <c r="K79" s="156">
        <v>0</v>
      </c>
      <c r="L79" s="157">
        <v>0</v>
      </c>
      <c r="M79" s="158">
        <v>0</v>
      </c>
    </row>
    <row r="80" spans="1:19">
      <c r="A80" s="367"/>
      <c r="B80" s="133" t="s">
        <v>401</v>
      </c>
      <c r="C80" s="234">
        <v>0</v>
      </c>
      <c r="D80" s="235">
        <v>0</v>
      </c>
      <c r="E80" s="155">
        <v>0</v>
      </c>
      <c r="F80" s="157">
        <v>0</v>
      </c>
      <c r="G80" s="155">
        <v>0</v>
      </c>
      <c r="H80" s="157">
        <v>0</v>
      </c>
      <c r="I80" s="155">
        <v>0</v>
      </c>
      <c r="J80" s="157">
        <v>0</v>
      </c>
      <c r="K80" s="156">
        <v>0</v>
      </c>
      <c r="L80" s="157">
        <v>0</v>
      </c>
      <c r="M80" s="158">
        <v>0</v>
      </c>
    </row>
    <row r="81" spans="1:15">
      <c r="A81" s="367"/>
      <c r="B81" s="243" t="s">
        <v>288</v>
      </c>
      <c r="C81" s="241">
        <v>0</v>
      </c>
      <c r="D81" s="239">
        <v>0</v>
      </c>
      <c r="E81" s="166">
        <v>0</v>
      </c>
      <c r="F81" s="168">
        <v>0</v>
      </c>
      <c r="G81" s="166">
        <v>0</v>
      </c>
      <c r="H81" s="168">
        <v>0</v>
      </c>
      <c r="I81" s="166">
        <v>0</v>
      </c>
      <c r="J81" s="168">
        <v>0</v>
      </c>
      <c r="K81" s="167">
        <v>0</v>
      </c>
      <c r="L81" s="168">
        <v>0</v>
      </c>
      <c r="M81" s="158">
        <v>0</v>
      </c>
    </row>
    <row r="82" spans="1:15" ht="16.5">
      <c r="A82" s="367" t="s">
        <v>553</v>
      </c>
      <c r="B82" s="159" t="s">
        <v>453</v>
      </c>
      <c r="C82" s="234">
        <v>0</v>
      </c>
      <c r="D82" s="235">
        <v>362776</v>
      </c>
      <c r="E82" s="155">
        <v>917257</v>
      </c>
      <c r="F82" s="157">
        <v>0</v>
      </c>
      <c r="G82" s="155">
        <v>0</v>
      </c>
      <c r="H82" s="235">
        <v>42715</v>
      </c>
      <c r="I82" s="155">
        <v>0</v>
      </c>
      <c r="J82" s="235">
        <v>511766.00000000006</v>
      </c>
      <c r="K82" s="156">
        <v>0</v>
      </c>
      <c r="L82" s="157">
        <v>0</v>
      </c>
      <c r="M82" s="158">
        <v>0</v>
      </c>
    </row>
    <row r="83" spans="1:15">
      <c r="A83" s="367"/>
      <c r="B83" s="134" t="s">
        <v>50</v>
      </c>
      <c r="C83" s="234">
        <v>0</v>
      </c>
      <c r="D83" s="235">
        <v>895266</v>
      </c>
      <c r="E83" s="155">
        <v>800730</v>
      </c>
      <c r="F83" s="157">
        <v>0</v>
      </c>
      <c r="G83" s="155">
        <v>94536</v>
      </c>
      <c r="H83" s="157">
        <v>0</v>
      </c>
      <c r="I83" s="155">
        <v>0</v>
      </c>
      <c r="J83" s="157">
        <v>0</v>
      </c>
      <c r="K83" s="156">
        <v>0</v>
      </c>
      <c r="L83" s="157">
        <v>0</v>
      </c>
      <c r="M83" s="158">
        <v>0</v>
      </c>
    </row>
    <row r="84" spans="1:15" ht="16.5">
      <c r="A84" s="367"/>
      <c r="B84" s="134" t="s">
        <v>455</v>
      </c>
      <c r="C84" s="234">
        <v>1254637</v>
      </c>
      <c r="D84" s="235">
        <v>0</v>
      </c>
      <c r="E84" s="155">
        <v>0</v>
      </c>
      <c r="F84" s="157">
        <v>1254637</v>
      </c>
      <c r="G84" s="155">
        <v>0</v>
      </c>
      <c r="H84" s="157">
        <v>0</v>
      </c>
      <c r="I84" s="155">
        <v>0</v>
      </c>
      <c r="J84" s="157">
        <v>0</v>
      </c>
      <c r="K84" s="156">
        <v>0</v>
      </c>
      <c r="L84" s="157">
        <v>0</v>
      </c>
      <c r="M84" s="158">
        <v>0</v>
      </c>
    </row>
    <row r="85" spans="1:15">
      <c r="A85" s="367"/>
      <c r="B85" s="134" t="s">
        <v>456</v>
      </c>
      <c r="C85" s="234">
        <v>717798</v>
      </c>
      <c r="D85" s="235">
        <v>0</v>
      </c>
      <c r="E85" s="155">
        <v>0</v>
      </c>
      <c r="F85" s="157">
        <v>624646</v>
      </c>
      <c r="G85" s="155">
        <v>0</v>
      </c>
      <c r="H85" s="157">
        <v>93152</v>
      </c>
      <c r="I85" s="155">
        <v>0</v>
      </c>
      <c r="J85" s="157">
        <v>0</v>
      </c>
      <c r="K85" s="156">
        <v>0</v>
      </c>
      <c r="L85" s="157">
        <v>0</v>
      </c>
      <c r="M85" s="158">
        <v>0</v>
      </c>
    </row>
    <row r="86" spans="1:15">
      <c r="A86" s="367"/>
      <c r="B86" s="135" t="s">
        <v>65</v>
      </c>
      <c r="C86" s="241">
        <v>35242</v>
      </c>
      <c r="D86" s="239">
        <v>0</v>
      </c>
      <c r="E86" s="166">
        <v>70054</v>
      </c>
      <c r="F86" s="168">
        <v>0</v>
      </c>
      <c r="G86" s="166">
        <v>0</v>
      </c>
      <c r="H86" s="168">
        <v>13352</v>
      </c>
      <c r="I86" s="166">
        <v>0</v>
      </c>
      <c r="J86" s="168">
        <v>59170</v>
      </c>
      <c r="K86" s="167">
        <v>0</v>
      </c>
      <c r="L86" s="168">
        <v>32774</v>
      </c>
      <c r="M86" s="158">
        <v>0</v>
      </c>
      <c r="O86" t="s">
        <v>516</v>
      </c>
    </row>
    <row r="87" spans="1:15">
      <c r="A87" s="367" t="s">
        <v>554</v>
      </c>
      <c r="B87" s="134" t="s">
        <v>79</v>
      </c>
      <c r="C87" s="234">
        <v>0</v>
      </c>
      <c r="D87" s="235">
        <v>4805004</v>
      </c>
      <c r="E87" s="155">
        <v>0</v>
      </c>
      <c r="F87" s="157">
        <v>1532204</v>
      </c>
      <c r="G87" s="155">
        <v>0</v>
      </c>
      <c r="H87" s="157">
        <v>0</v>
      </c>
      <c r="I87" s="155">
        <v>0</v>
      </c>
      <c r="J87" s="157">
        <v>0</v>
      </c>
      <c r="K87" s="156">
        <v>0</v>
      </c>
      <c r="L87" s="157">
        <v>0</v>
      </c>
      <c r="M87" s="158">
        <v>-6337208</v>
      </c>
      <c r="O87" s="158">
        <v>8815606</v>
      </c>
    </row>
    <row r="88" spans="1:15">
      <c r="A88" s="367"/>
      <c r="B88" s="134" t="s">
        <v>404</v>
      </c>
      <c r="C88" s="234">
        <v>0</v>
      </c>
      <c r="D88" s="235">
        <v>0</v>
      </c>
      <c r="E88" s="155">
        <v>0</v>
      </c>
      <c r="F88" s="157">
        <v>0</v>
      </c>
      <c r="G88" s="155">
        <v>0</v>
      </c>
      <c r="H88" s="157">
        <v>0</v>
      </c>
      <c r="I88" s="155">
        <v>0</v>
      </c>
      <c r="J88" s="157">
        <v>0</v>
      </c>
      <c r="K88" s="156">
        <v>0</v>
      </c>
      <c r="L88" s="157">
        <v>0</v>
      </c>
      <c r="M88" s="158">
        <v>0</v>
      </c>
    </row>
    <row r="89" spans="1:15">
      <c r="A89" s="367"/>
      <c r="B89" s="134" t="s">
        <v>87</v>
      </c>
      <c r="C89" s="234">
        <v>0</v>
      </c>
      <c r="D89" s="235">
        <v>410010</v>
      </c>
      <c r="E89" s="155">
        <v>0</v>
      </c>
      <c r="F89" s="157">
        <v>139686</v>
      </c>
      <c r="G89" s="155">
        <v>0</v>
      </c>
      <c r="H89" s="157">
        <v>13718</v>
      </c>
      <c r="I89" s="155">
        <v>0</v>
      </c>
      <c r="J89" s="157">
        <v>696813</v>
      </c>
      <c r="K89" s="156">
        <v>0</v>
      </c>
      <c r="L89" s="157">
        <v>0</v>
      </c>
      <c r="M89" s="158">
        <v>-1260227</v>
      </c>
    </row>
    <row r="90" spans="1:15">
      <c r="A90" s="367"/>
      <c r="B90" s="134" t="s">
        <v>89</v>
      </c>
      <c r="C90" s="234">
        <v>0</v>
      </c>
      <c r="D90" s="235">
        <v>0</v>
      </c>
      <c r="E90" s="155">
        <v>0</v>
      </c>
      <c r="F90" s="157">
        <v>0</v>
      </c>
      <c r="G90" s="155">
        <v>0</v>
      </c>
      <c r="H90" s="157">
        <v>0</v>
      </c>
      <c r="I90" s="155">
        <v>0</v>
      </c>
      <c r="J90" s="157">
        <v>-33878</v>
      </c>
      <c r="K90" s="156">
        <v>0</v>
      </c>
      <c r="L90" s="157">
        <v>0</v>
      </c>
      <c r="M90" s="158">
        <v>33878</v>
      </c>
    </row>
    <row r="91" spans="1:15" ht="16.5">
      <c r="A91" s="367"/>
      <c r="B91" s="135" t="s">
        <v>410</v>
      </c>
      <c r="C91" s="241">
        <v>0</v>
      </c>
      <c r="D91" s="239">
        <v>0</v>
      </c>
      <c r="E91" s="166">
        <v>0</v>
      </c>
      <c r="F91" s="168">
        <v>0</v>
      </c>
      <c r="G91" s="166">
        <v>0</v>
      </c>
      <c r="H91" s="168">
        <v>0</v>
      </c>
      <c r="I91" s="166">
        <v>0</v>
      </c>
      <c r="J91" s="168">
        <v>0</v>
      </c>
      <c r="K91" s="156">
        <v>0</v>
      </c>
      <c r="L91" s="157">
        <v>0</v>
      </c>
      <c r="M91" s="158">
        <v>0</v>
      </c>
    </row>
    <row r="92" spans="1:15" ht="16.5">
      <c r="B92" s="137" t="s">
        <v>189</v>
      </c>
      <c r="C92" s="364">
        <v>562272</v>
      </c>
      <c r="D92" s="360"/>
      <c r="E92" s="364">
        <v>-918009</v>
      </c>
      <c r="F92" s="360"/>
      <c r="G92" s="364">
        <v>149429</v>
      </c>
      <c r="H92" s="360"/>
      <c r="I92" s="364">
        <v>125770</v>
      </c>
      <c r="J92" s="360"/>
      <c r="K92" s="364">
        <v>80538</v>
      </c>
      <c r="L92" s="360"/>
      <c r="M92" s="158">
        <v>0</v>
      </c>
    </row>
    <row r="93" spans="1:15">
      <c r="B93" s="46" t="s">
        <v>415</v>
      </c>
      <c r="C93" s="364">
        <v>562272</v>
      </c>
      <c r="D93" s="360"/>
      <c r="E93" s="364">
        <v>-918009</v>
      </c>
      <c r="F93" s="360"/>
      <c r="G93" s="364">
        <v>149429</v>
      </c>
      <c r="H93" s="360"/>
      <c r="I93" s="364">
        <v>125770</v>
      </c>
      <c r="J93" s="360"/>
      <c r="K93" s="365">
        <v>80538</v>
      </c>
      <c r="L93" s="366"/>
      <c r="M93" s="158">
        <v>0</v>
      </c>
    </row>
    <row r="95" spans="1:15">
      <c r="D95" s="255">
        <v>0</v>
      </c>
      <c r="F95" s="255">
        <v>0</v>
      </c>
      <c r="H95" s="255">
        <v>0</v>
      </c>
      <c r="J95" s="255">
        <v>0</v>
      </c>
      <c r="L95" s="255">
        <v>0</v>
      </c>
    </row>
  </sheetData>
  <mergeCells count="109">
    <mergeCell ref="I92:J92"/>
    <mergeCell ref="K92:L92"/>
    <mergeCell ref="C93:D93"/>
    <mergeCell ref="E93:F93"/>
    <mergeCell ref="G93:H93"/>
    <mergeCell ref="I93:J93"/>
    <mergeCell ref="K93:L93"/>
    <mergeCell ref="A77:A81"/>
    <mergeCell ref="A82:A86"/>
    <mergeCell ref="A87:A91"/>
    <mergeCell ref="C92:D92"/>
    <mergeCell ref="E92:F92"/>
    <mergeCell ref="G92:H92"/>
    <mergeCell ref="C66:D69"/>
    <mergeCell ref="E66:F69"/>
    <mergeCell ref="G66:H69"/>
    <mergeCell ref="I66:J69"/>
    <mergeCell ref="K66:L69"/>
    <mergeCell ref="A72:A76"/>
    <mergeCell ref="K60:L60"/>
    <mergeCell ref="C61:D61"/>
    <mergeCell ref="E61:F61"/>
    <mergeCell ref="G61:H61"/>
    <mergeCell ref="I61:J61"/>
    <mergeCell ref="K61:L61"/>
    <mergeCell ref="A50:A54"/>
    <mergeCell ref="A55:A59"/>
    <mergeCell ref="C60:D60"/>
    <mergeCell ref="E60:F60"/>
    <mergeCell ref="G60:H60"/>
    <mergeCell ref="I60:J60"/>
    <mergeCell ref="W42:W45"/>
    <mergeCell ref="X42:X45"/>
    <mergeCell ref="Y42:Y45"/>
    <mergeCell ref="C34:D37"/>
    <mergeCell ref="E34:F37"/>
    <mergeCell ref="G34:H37"/>
    <mergeCell ref="I34:J37"/>
    <mergeCell ref="K34:L37"/>
    <mergeCell ref="Z42:Z45"/>
    <mergeCell ref="AA42:AA45"/>
    <mergeCell ref="A45:A49"/>
    <mergeCell ref="A40:A44"/>
    <mergeCell ref="R42:R45"/>
    <mergeCell ref="S42:S45"/>
    <mergeCell ref="T42:T45"/>
    <mergeCell ref="U42:U45"/>
    <mergeCell ref="V42:V45"/>
    <mergeCell ref="A18:A22"/>
    <mergeCell ref="R22:R25"/>
    <mergeCell ref="S22:S25"/>
    <mergeCell ref="T22:T25"/>
    <mergeCell ref="C29:D29"/>
    <mergeCell ref="E29:F29"/>
    <mergeCell ref="G29:H29"/>
    <mergeCell ref="I29:J29"/>
    <mergeCell ref="K29:L29"/>
    <mergeCell ref="C28:D28"/>
    <mergeCell ref="E28:F28"/>
    <mergeCell ref="G28:H28"/>
    <mergeCell ref="I28:J28"/>
    <mergeCell ref="K28:L28"/>
    <mergeCell ref="AH22:AH25"/>
    <mergeCell ref="AI22:AI25"/>
    <mergeCell ref="AJ22:AJ25"/>
    <mergeCell ref="W22:W25"/>
    <mergeCell ref="X22:X25"/>
    <mergeCell ref="Y22:Y25"/>
    <mergeCell ref="Z22:Z25"/>
    <mergeCell ref="AA22:AA25"/>
    <mergeCell ref="AD22:AD25"/>
    <mergeCell ref="AB23:AB24"/>
    <mergeCell ref="AE22:AE25"/>
    <mergeCell ref="AF22:AF25"/>
    <mergeCell ref="AG22:AG25"/>
    <mergeCell ref="U22:U25"/>
    <mergeCell ref="V22:V25"/>
    <mergeCell ref="AJ3:AJ6"/>
    <mergeCell ref="AK3:AK6"/>
    <mergeCell ref="AL3:AL6"/>
    <mergeCell ref="AM3:AM6"/>
    <mergeCell ref="A8:A12"/>
    <mergeCell ref="A13:A17"/>
    <mergeCell ref="AD3:AD6"/>
    <mergeCell ref="AE3:AE6"/>
    <mergeCell ref="AF3:AF6"/>
    <mergeCell ref="AG3:AG6"/>
    <mergeCell ref="AH3:AH6"/>
    <mergeCell ref="AI3:AI6"/>
    <mergeCell ref="V3:V6"/>
    <mergeCell ref="W3:W6"/>
    <mergeCell ref="X3:X6"/>
    <mergeCell ref="Y3:Y6"/>
    <mergeCell ref="Z3:Z6"/>
    <mergeCell ref="AA3:AA6"/>
    <mergeCell ref="AK22:AK25"/>
    <mergeCell ref="AL22:AL25"/>
    <mergeCell ref="AM22:AM25"/>
    <mergeCell ref="A23:A27"/>
    <mergeCell ref="R1:AB2"/>
    <mergeCell ref="C2:D5"/>
    <mergeCell ref="E2:F5"/>
    <mergeCell ref="G2:H5"/>
    <mergeCell ref="I2:J5"/>
    <mergeCell ref="K2:L5"/>
    <mergeCell ref="R3:R6"/>
    <mergeCell ref="S3:S6"/>
    <mergeCell ref="T3:T6"/>
    <mergeCell ref="U3:U6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A940-5CC0-40F7-B0A4-EF81CAFD68F4}">
  <dimension ref="A1:CL73"/>
  <sheetViews>
    <sheetView topLeftCell="J29" zoomScale="98" zoomScaleNormal="98" workbookViewId="0">
      <selection activeCell="AF54" sqref="AF54"/>
    </sheetView>
  </sheetViews>
  <sheetFormatPr defaultColWidth="16.19921875" defaultRowHeight="8.25"/>
  <cols>
    <col min="1" max="1" width="56.3984375" style="197" customWidth="1"/>
    <col min="2" max="2" width="9.59765625" style="197" customWidth="1"/>
    <col min="3" max="3" width="11.3984375" style="197" bestFit="1" customWidth="1"/>
    <col min="4" max="9" width="9" style="197" customWidth="1"/>
    <col min="10" max="10" width="10.19921875" style="197" bestFit="1" customWidth="1"/>
    <col min="11" max="11" width="15.59765625" style="197" customWidth="1"/>
    <col min="12" max="12" width="11" style="197" bestFit="1" customWidth="1"/>
    <col min="13" max="13" width="11.796875" style="197" bestFit="1" customWidth="1"/>
    <col min="14" max="15" width="11.19921875" style="197" bestFit="1" customWidth="1"/>
    <col min="16" max="16" width="10.796875" style="197" bestFit="1" customWidth="1"/>
    <col min="17" max="17" width="11" style="197" bestFit="1" customWidth="1"/>
    <col min="18" max="18" width="10.796875" style="197" bestFit="1" customWidth="1"/>
    <col min="19" max="19" width="11.19921875" style="197" bestFit="1" customWidth="1"/>
    <col min="20" max="20" width="10" style="197" bestFit="1" customWidth="1"/>
    <col min="21" max="21" width="14.3984375" style="197" bestFit="1" customWidth="1"/>
    <col min="22" max="22" width="11.3984375" style="197" bestFit="1" customWidth="1"/>
    <col min="23" max="23" width="12.796875" style="197" bestFit="1" customWidth="1"/>
    <col min="24" max="24" width="10.59765625" style="197" customWidth="1"/>
    <col min="25" max="29" width="9" style="197" customWidth="1"/>
    <col min="30" max="30" width="11.59765625" style="197" customWidth="1"/>
    <col min="31" max="31" width="13.796875" style="197" bestFit="1" customWidth="1"/>
    <col min="32" max="32" width="14.796875" style="197" customWidth="1"/>
    <col min="33" max="16384" width="16.19921875" style="197"/>
  </cols>
  <sheetData>
    <row r="1" spans="1:27" s="171" customFormat="1" ht="12" customHeight="1">
      <c r="A1" s="170" t="s">
        <v>483</v>
      </c>
    </row>
    <row r="2" spans="1:27" s="171" customFormat="1" ht="6.75" customHeight="1"/>
    <row r="3" spans="1:27" s="171" customFormat="1" ht="12" customHeight="1">
      <c r="A3" s="172" t="s">
        <v>484</v>
      </c>
      <c r="J3" s="173"/>
      <c r="W3" s="174"/>
    </row>
    <row r="4" spans="1:27" s="54" customFormat="1" ht="10.15" customHeight="1">
      <c r="A4" s="175"/>
      <c r="J4" s="176"/>
      <c r="W4" s="177"/>
      <c r="X4" s="177"/>
      <c r="Y4" s="178" t="s">
        <v>485</v>
      </c>
    </row>
    <row r="5" spans="1:27" s="54" customFormat="1" ht="12" customHeight="1" thickBot="1">
      <c r="A5" s="397" t="s">
        <v>471</v>
      </c>
      <c r="B5" s="179" t="s">
        <v>486</v>
      </c>
      <c r="C5" s="180"/>
      <c r="D5" s="180"/>
      <c r="E5" s="180"/>
      <c r="F5" s="180"/>
      <c r="G5" s="180"/>
      <c r="H5" s="180"/>
      <c r="I5" s="180"/>
      <c r="J5" s="181"/>
      <c r="K5" s="182" t="s">
        <v>487</v>
      </c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4"/>
      <c r="X5" s="412" t="s">
        <v>488</v>
      </c>
      <c r="Y5" s="415" t="s">
        <v>489</v>
      </c>
    </row>
    <row r="6" spans="1:27" s="54" customFormat="1" ht="21" customHeight="1" thickTop="1">
      <c r="A6" s="397"/>
      <c r="B6" s="411" t="s">
        <v>490</v>
      </c>
      <c r="C6" s="411" t="s">
        <v>491</v>
      </c>
      <c r="D6" s="411" t="s">
        <v>492</v>
      </c>
      <c r="E6" s="411" t="s">
        <v>493</v>
      </c>
      <c r="F6" s="408" t="s">
        <v>494</v>
      </c>
      <c r="G6" s="411" t="s">
        <v>495</v>
      </c>
      <c r="H6" s="411" t="s">
        <v>496</v>
      </c>
      <c r="I6" s="411" t="s">
        <v>497</v>
      </c>
      <c r="J6" s="411" t="s">
        <v>498</v>
      </c>
      <c r="K6" s="403" t="s">
        <v>499</v>
      </c>
      <c r="L6" s="403" t="s">
        <v>473</v>
      </c>
      <c r="M6" s="403" t="s">
        <v>500</v>
      </c>
      <c r="N6" s="403" t="s">
        <v>501</v>
      </c>
      <c r="O6" s="403" t="s">
        <v>502</v>
      </c>
      <c r="P6" s="403" t="s">
        <v>476</v>
      </c>
      <c r="Q6" s="403" t="s">
        <v>503</v>
      </c>
      <c r="R6" s="403" t="s">
        <v>504</v>
      </c>
      <c r="S6" s="403" t="s">
        <v>505</v>
      </c>
      <c r="T6" s="403" t="s">
        <v>506</v>
      </c>
      <c r="U6" s="403" t="s">
        <v>481</v>
      </c>
      <c r="V6" s="403" t="s">
        <v>507</v>
      </c>
      <c r="W6" s="403" t="s">
        <v>508</v>
      </c>
      <c r="X6" s="413"/>
      <c r="Y6" s="415"/>
      <c r="AA6" s="185"/>
    </row>
    <row r="7" spans="1:27" s="54" customFormat="1" ht="21" customHeight="1">
      <c r="A7" s="397"/>
      <c r="B7" s="417"/>
      <c r="C7" s="400"/>
      <c r="D7" s="400"/>
      <c r="E7" s="399"/>
      <c r="F7" s="409"/>
      <c r="G7" s="399"/>
      <c r="H7" s="399"/>
      <c r="I7" s="399"/>
      <c r="J7" s="399"/>
      <c r="K7" s="404"/>
      <c r="L7" s="404"/>
      <c r="M7" s="404"/>
      <c r="N7" s="404"/>
      <c r="O7" s="404"/>
      <c r="P7" s="404"/>
      <c r="Q7" s="404"/>
      <c r="R7" s="404"/>
      <c r="S7" s="406"/>
      <c r="T7" s="406"/>
      <c r="U7" s="404"/>
      <c r="V7" s="404"/>
      <c r="W7" s="404"/>
      <c r="X7" s="413"/>
      <c r="Y7" s="415"/>
      <c r="AA7" s="186"/>
    </row>
    <row r="8" spans="1:27" s="54" customFormat="1" ht="21" customHeight="1">
      <c r="A8" s="397"/>
      <c r="B8" s="417"/>
      <c r="C8" s="400"/>
      <c r="D8" s="400"/>
      <c r="E8" s="399"/>
      <c r="F8" s="409"/>
      <c r="G8" s="399"/>
      <c r="H8" s="399"/>
      <c r="I8" s="399"/>
      <c r="J8" s="399"/>
      <c r="K8" s="404"/>
      <c r="L8" s="404"/>
      <c r="M8" s="404"/>
      <c r="N8" s="404"/>
      <c r="O8" s="404"/>
      <c r="P8" s="404"/>
      <c r="Q8" s="404"/>
      <c r="R8" s="404"/>
      <c r="S8" s="406"/>
      <c r="T8" s="406"/>
      <c r="U8" s="404"/>
      <c r="V8" s="404"/>
      <c r="W8" s="404"/>
      <c r="X8" s="413"/>
      <c r="Y8" s="415"/>
      <c r="AA8" s="186"/>
    </row>
    <row r="9" spans="1:27" s="54" customFormat="1" ht="21" customHeight="1" thickBot="1">
      <c r="A9" s="398"/>
      <c r="B9" s="418"/>
      <c r="C9" s="401"/>
      <c r="D9" s="401"/>
      <c r="E9" s="402"/>
      <c r="F9" s="410"/>
      <c r="G9" s="402"/>
      <c r="H9" s="402"/>
      <c r="I9" s="402"/>
      <c r="J9" s="402"/>
      <c r="K9" s="405"/>
      <c r="L9" s="405"/>
      <c r="M9" s="405"/>
      <c r="N9" s="405"/>
      <c r="O9" s="405"/>
      <c r="P9" s="405"/>
      <c r="Q9" s="405"/>
      <c r="R9" s="405"/>
      <c r="S9" s="407"/>
      <c r="T9" s="407"/>
      <c r="U9" s="405"/>
      <c r="V9" s="405"/>
      <c r="W9" s="405"/>
      <c r="X9" s="414"/>
      <c r="Y9" s="416"/>
      <c r="AA9" s="186"/>
    </row>
    <row r="10" spans="1:27" s="54" customFormat="1" ht="6.75" customHeight="1" thickTop="1">
      <c r="A10" s="187"/>
      <c r="B10" s="186"/>
      <c r="C10" s="186"/>
      <c r="D10" s="186"/>
      <c r="E10" s="188"/>
      <c r="F10" s="188"/>
      <c r="G10" s="188"/>
      <c r="H10" s="188"/>
      <c r="I10" s="188"/>
      <c r="J10" s="189"/>
      <c r="K10" s="186"/>
      <c r="L10" s="186"/>
      <c r="M10" s="186"/>
      <c r="N10" s="186"/>
      <c r="O10" s="186"/>
      <c r="P10" s="186"/>
      <c r="Q10" s="186"/>
      <c r="R10" s="186"/>
      <c r="S10" s="190"/>
      <c r="T10" s="186"/>
      <c r="U10" s="186"/>
      <c r="V10" s="186"/>
      <c r="W10" s="186"/>
      <c r="X10" s="191"/>
      <c r="Y10" s="186"/>
    </row>
    <row r="11" spans="1:27" s="54" customFormat="1" ht="10.15" customHeight="1">
      <c r="A11" s="187" t="s">
        <v>472</v>
      </c>
      <c r="B11" s="192">
        <f>B39</f>
        <v>938989.00000000012</v>
      </c>
      <c r="C11" s="248">
        <f>$B11*ParâmeetrosTRU!C11</f>
        <v>101814.00000000001</v>
      </c>
      <c r="D11" s="248">
        <f>$B11*ParâmeetrosTRU!D11</f>
        <v>17919</v>
      </c>
      <c r="E11" s="248">
        <f>$B11*ParâmeetrosTRU!E11</f>
        <v>0</v>
      </c>
      <c r="F11" s="248">
        <f>$B11*ParâmeetrosTRU!F11</f>
        <v>0</v>
      </c>
      <c r="G11" s="248">
        <f>$B11*ParâmeetrosTRU!G11</f>
        <v>0</v>
      </c>
      <c r="H11" s="248">
        <f>$B11*ParâmeetrosTRU!H11</f>
        <v>0</v>
      </c>
      <c r="I11" s="248">
        <f>$B11*ParâmeetrosTRU!I11</f>
        <v>18256.000000000004</v>
      </c>
      <c r="J11" s="248">
        <f>$B11*ParâmeetrosTRU!J11</f>
        <v>801000.00000000012</v>
      </c>
      <c r="K11" s="248">
        <f>$B11*ParâmeetrosTRU!K11</f>
        <v>777589.00000000012</v>
      </c>
      <c r="L11" s="248">
        <f>$B11*ParâmeetrosTRU!L11</f>
        <v>0</v>
      </c>
      <c r="M11" s="248">
        <f>$B11*ParâmeetrosTRU!M11</f>
        <v>0</v>
      </c>
      <c r="N11" s="248">
        <f>$B11*ParâmeetrosTRU!N11</f>
        <v>0</v>
      </c>
      <c r="O11" s="248">
        <f>$B11*ParâmeetrosTRU!O11</f>
        <v>0</v>
      </c>
      <c r="P11" s="248">
        <f>$B11*ParâmeetrosTRU!P11</f>
        <v>172</v>
      </c>
      <c r="Q11" s="248">
        <f>$B11*ParâmeetrosTRU!Q11</f>
        <v>106.00000000000001</v>
      </c>
      <c r="R11" s="248">
        <f>$B11*ParâmeetrosTRU!R11</f>
        <v>0</v>
      </c>
      <c r="S11" s="248">
        <f>$B11*ParâmeetrosTRU!S11</f>
        <v>0</v>
      </c>
      <c r="T11" s="248">
        <f>$B11*ParâmeetrosTRU!T11</f>
        <v>0</v>
      </c>
      <c r="U11" s="248">
        <f>$B11*ParâmeetrosTRU!U11</f>
        <v>0</v>
      </c>
      <c r="V11" s="248">
        <f>$B11*ParâmeetrosTRU!V11</f>
        <v>602.00000000000011</v>
      </c>
      <c r="W11" s="248">
        <f>$B11*ParâmeetrosTRU!W11</f>
        <v>0</v>
      </c>
      <c r="X11" s="248">
        <f>$B11*ParâmeetrosTRU!X11</f>
        <v>0</v>
      </c>
      <c r="Y11" s="248">
        <f>$B11*ParâmeetrosTRU!Y11</f>
        <v>22531.000000000004</v>
      </c>
    </row>
    <row r="12" spans="1:27" s="54" customFormat="1" ht="10.15" customHeight="1">
      <c r="A12" s="187" t="s">
        <v>473</v>
      </c>
      <c r="B12" s="192">
        <f t="shared" ref="B12:B22" si="0">B40</f>
        <v>474641.00000000006</v>
      </c>
      <c r="C12" s="248">
        <f>$B12*ParâmeetrosTRU!C12</f>
        <v>22876.000000000004</v>
      </c>
      <c r="D12" s="248">
        <f>$B12*ParâmeetrosTRU!D12</f>
        <v>8440.0000000000018</v>
      </c>
      <c r="E12" s="248">
        <f>$B12*ParâmeetrosTRU!E12</f>
        <v>30.000000000000004</v>
      </c>
      <c r="F12" s="248">
        <f>$B12*ParâmeetrosTRU!F12</f>
        <v>0</v>
      </c>
      <c r="G12" s="248">
        <f>$B12*ParâmeetrosTRU!G12</f>
        <v>1455.0000000000002</v>
      </c>
      <c r="H12" s="248">
        <f>$B12*ParâmeetrosTRU!H12</f>
        <v>3223.0000000000005</v>
      </c>
      <c r="I12" s="248">
        <f>$B12*ParâmeetrosTRU!I12</f>
        <v>4708</v>
      </c>
      <c r="J12" s="248">
        <f>$B12*ParâmeetrosTRU!J12</f>
        <v>438617.00000000006</v>
      </c>
      <c r="K12" s="248">
        <f>$B12*ParâmeetrosTRU!K12</f>
        <v>317.00000000000006</v>
      </c>
      <c r="L12" s="248">
        <f>$B12*ParâmeetrosTRU!L12</f>
        <v>401704.00000000006</v>
      </c>
      <c r="M12" s="248">
        <f>$B12*ParâmeetrosTRU!M12</f>
        <v>1854.0000000000002</v>
      </c>
      <c r="N12" s="248">
        <f>$B12*ParâmeetrosTRU!N12</f>
        <v>0</v>
      </c>
      <c r="O12" s="248">
        <f>$B12*ParâmeetrosTRU!O12</f>
        <v>0</v>
      </c>
      <c r="P12" s="248">
        <f>$B12*ParâmeetrosTRU!P12</f>
        <v>320</v>
      </c>
      <c r="Q12" s="248">
        <f>$B12*ParâmeetrosTRU!Q12</f>
        <v>0</v>
      </c>
      <c r="R12" s="248">
        <f>$B12*ParâmeetrosTRU!R12</f>
        <v>0</v>
      </c>
      <c r="S12" s="248">
        <f>$B12*ParâmeetrosTRU!S12</f>
        <v>0</v>
      </c>
      <c r="T12" s="248">
        <f>$B12*ParâmeetrosTRU!T12</f>
        <v>0</v>
      </c>
      <c r="U12" s="248">
        <f>$B12*ParâmeetrosTRU!U12</f>
        <v>0</v>
      </c>
      <c r="V12" s="248">
        <f>$B12*ParâmeetrosTRU!V12</f>
        <v>15.000000000000002</v>
      </c>
      <c r="W12" s="248">
        <f>$B12*ParâmeetrosTRU!W12</f>
        <v>0</v>
      </c>
      <c r="X12" s="248">
        <f>$B12*ParâmeetrosTRU!X12</f>
        <v>0</v>
      </c>
      <c r="Y12" s="248">
        <f>$B12*ParâmeetrosTRU!Y12</f>
        <v>34407.000000000007</v>
      </c>
    </row>
    <row r="13" spans="1:27" s="54" customFormat="1" ht="10.15" customHeight="1">
      <c r="A13" s="187" t="s">
        <v>474</v>
      </c>
      <c r="B13" s="192">
        <f t="shared" si="0"/>
        <v>6468662.0000000028</v>
      </c>
      <c r="C13" s="248">
        <f>$B13*ParâmeetrosTRU!C13</f>
        <v>1045722.0000000005</v>
      </c>
      <c r="D13" s="248">
        <f>$B13*ParâmeetrosTRU!D13</f>
        <v>71220.000000000029</v>
      </c>
      <c r="E13" s="248">
        <f>$B13*ParâmeetrosTRU!E13</f>
        <v>45158.000000000022</v>
      </c>
      <c r="F13" s="248">
        <f>$B13*ParâmeetrosTRU!F13</f>
        <v>55894.000000000029</v>
      </c>
      <c r="G13" s="248">
        <f>$B13*ParâmeetrosTRU!G13</f>
        <v>379582.00000000017</v>
      </c>
      <c r="H13" s="248">
        <f>$B13*ParâmeetrosTRU!H13</f>
        <v>152570.00000000006</v>
      </c>
      <c r="I13" s="248">
        <f>$B13*ParâmeetrosTRU!I13</f>
        <v>633204.00000000023</v>
      </c>
      <c r="J13" s="248">
        <f>$B13*ParâmeetrosTRU!J13</f>
        <v>4718516.0000000019</v>
      </c>
      <c r="K13" s="248">
        <f>$B13*ParâmeetrosTRU!K13</f>
        <v>9930.0000000000036</v>
      </c>
      <c r="L13" s="248">
        <f>$B13*ParâmeetrosTRU!L13</f>
        <v>6125.0000000000027</v>
      </c>
      <c r="M13" s="248">
        <f>$B13*ParâmeetrosTRU!M13</f>
        <v>3702844.0000000019</v>
      </c>
      <c r="N13" s="248">
        <f>$B13*ParâmeetrosTRU!N13</f>
        <v>0</v>
      </c>
      <c r="O13" s="248">
        <f>$B13*ParâmeetrosTRU!O13</f>
        <v>54.000000000000028</v>
      </c>
      <c r="P13" s="248">
        <f>$B13*ParâmeetrosTRU!P13</f>
        <v>91539.000000000044</v>
      </c>
      <c r="Q13" s="248">
        <f>$B13*ParâmeetrosTRU!Q13</f>
        <v>147.00000000000009</v>
      </c>
      <c r="R13" s="248">
        <f>$B13*ParâmeetrosTRU!R13</f>
        <v>657.00000000000034</v>
      </c>
      <c r="S13" s="248">
        <f>$B13*ParâmeetrosTRU!S13</f>
        <v>0</v>
      </c>
      <c r="T13" s="248">
        <f>$B13*ParâmeetrosTRU!T13</f>
        <v>0</v>
      </c>
      <c r="U13" s="248">
        <f>$B13*ParâmeetrosTRU!U13</f>
        <v>4150.0000000000018</v>
      </c>
      <c r="V13" s="248">
        <f>$B13*ParâmeetrosTRU!V13</f>
        <v>2011.0000000000007</v>
      </c>
      <c r="W13" s="248">
        <f>$B13*ParâmeetrosTRU!W13</f>
        <v>0</v>
      </c>
      <c r="X13" s="248">
        <f>$B13*ParâmeetrosTRU!X13</f>
        <v>0</v>
      </c>
      <c r="Y13" s="248">
        <f>$B13*ParâmeetrosTRU!Y13</f>
        <v>901059.00000000035</v>
      </c>
    </row>
    <row r="14" spans="1:27" s="54" customFormat="1" ht="10.15" customHeight="1">
      <c r="A14" s="187" t="s">
        <v>509</v>
      </c>
      <c r="B14" s="192">
        <f t="shared" si="0"/>
        <v>532996.00000000012</v>
      </c>
      <c r="C14" s="248">
        <f>$B14*ParâmeetrosTRU!C14</f>
        <v>4732.0000000000009</v>
      </c>
      <c r="D14" s="248">
        <f>$B14*ParâmeetrosTRU!D14</f>
        <v>0</v>
      </c>
      <c r="E14" s="248">
        <f>$B14*ParâmeetrosTRU!E14</f>
        <v>0</v>
      </c>
      <c r="F14" s="248">
        <f>$B14*ParâmeetrosTRU!F14</f>
        <v>0</v>
      </c>
      <c r="G14" s="248">
        <f>$B14*ParâmeetrosTRU!G14</f>
        <v>57829.000000000015</v>
      </c>
      <c r="H14" s="248">
        <f>$B14*ParâmeetrosTRU!H14</f>
        <v>13475.000000000002</v>
      </c>
      <c r="I14" s="248">
        <f>$B14*ParâmeetrosTRU!I14</f>
        <v>71304.000000000015</v>
      </c>
      <c r="J14" s="248">
        <f>$B14*ParâmeetrosTRU!J14</f>
        <v>456960.00000000012</v>
      </c>
      <c r="K14" s="248">
        <f>$B14*ParâmeetrosTRU!K14</f>
        <v>0</v>
      </c>
      <c r="L14" s="248">
        <f>$B14*ParâmeetrosTRU!L14</f>
        <v>0</v>
      </c>
      <c r="M14" s="248">
        <f>$B14*ParâmeetrosTRU!M14</f>
        <v>0</v>
      </c>
      <c r="N14" s="248">
        <f>$B14*ParâmeetrosTRU!N14</f>
        <v>441537.00000000006</v>
      </c>
      <c r="O14" s="248">
        <f>$B14*ParâmeetrosTRU!O14</f>
        <v>0</v>
      </c>
      <c r="P14" s="248">
        <f>$B14*ParâmeetrosTRU!P14</f>
        <v>0</v>
      </c>
      <c r="Q14" s="248">
        <f>$B14*ParâmeetrosTRU!Q14</f>
        <v>0</v>
      </c>
      <c r="R14" s="248">
        <f>$B14*ParâmeetrosTRU!R14</f>
        <v>0</v>
      </c>
      <c r="S14" s="248">
        <f>$B14*ParâmeetrosTRU!S14</f>
        <v>0</v>
      </c>
      <c r="T14" s="248">
        <f>$B14*ParâmeetrosTRU!T14</f>
        <v>0</v>
      </c>
      <c r="U14" s="248">
        <f>$B14*ParâmeetrosTRU!U14</f>
        <v>0</v>
      </c>
      <c r="V14" s="248">
        <f>$B14*ParâmeetrosTRU!V14</f>
        <v>7972.0000000000018</v>
      </c>
      <c r="W14" s="248">
        <f>$B14*ParâmeetrosTRU!W14</f>
        <v>0</v>
      </c>
      <c r="X14" s="248">
        <f>$B14*ParâmeetrosTRU!X14</f>
        <v>0</v>
      </c>
      <c r="Y14" s="248">
        <f>$B14*ParâmeetrosTRU!Y14</f>
        <v>7451.0000000000018</v>
      </c>
    </row>
    <row r="15" spans="1:27" s="54" customFormat="1" ht="10.15" customHeight="1">
      <c r="A15" s="187" t="s">
        <v>475</v>
      </c>
      <c r="B15" s="192">
        <f t="shared" si="0"/>
        <v>683263.99999999988</v>
      </c>
      <c r="C15" s="248">
        <f>$B15*ParâmeetrosTRU!C15</f>
        <v>0</v>
      </c>
      <c r="D15" s="248">
        <f>$B15*ParâmeetrosTRU!D15</f>
        <v>0</v>
      </c>
      <c r="E15" s="248">
        <f>$B15*ParâmeetrosTRU!E15</f>
        <v>0</v>
      </c>
      <c r="F15" s="248">
        <f>$B15*ParâmeetrosTRU!F15</f>
        <v>0</v>
      </c>
      <c r="G15" s="248">
        <f>$B15*ParâmeetrosTRU!G15</f>
        <v>0</v>
      </c>
      <c r="H15" s="248">
        <f>$B15*ParâmeetrosTRU!H15</f>
        <v>31511.999999999993</v>
      </c>
      <c r="I15" s="248">
        <f>$B15*ParâmeetrosTRU!I15</f>
        <v>31511.999999999993</v>
      </c>
      <c r="J15" s="248">
        <f>$B15*ParâmeetrosTRU!J15</f>
        <v>651751.99999999988</v>
      </c>
      <c r="K15" s="248">
        <f>$B15*ParâmeetrosTRU!K15</f>
        <v>7718.9999999999982</v>
      </c>
      <c r="L15" s="248">
        <f>$B15*ParâmeetrosTRU!L15</f>
        <v>33320.999999999993</v>
      </c>
      <c r="M15" s="248">
        <f>$B15*ParâmeetrosTRU!M15</f>
        <v>0</v>
      </c>
      <c r="N15" s="248">
        <f>$B15*ParâmeetrosTRU!N15</f>
        <v>0</v>
      </c>
      <c r="O15" s="248">
        <f>$B15*ParâmeetrosTRU!O15</f>
        <v>607285.99999999988</v>
      </c>
      <c r="P15" s="248">
        <f>$B15*ParâmeetrosTRU!P15</f>
        <v>0</v>
      </c>
      <c r="Q15" s="248">
        <f>$B15*ParâmeetrosTRU!Q15</f>
        <v>0</v>
      </c>
      <c r="R15" s="248">
        <f>$B15*ParâmeetrosTRU!R15</f>
        <v>0</v>
      </c>
      <c r="S15" s="248">
        <f>$B15*ParâmeetrosTRU!S15</f>
        <v>0</v>
      </c>
      <c r="T15" s="248">
        <f>$B15*ParâmeetrosTRU!T15</f>
        <v>0</v>
      </c>
      <c r="U15" s="248">
        <f>$B15*ParâmeetrosTRU!U15</f>
        <v>0</v>
      </c>
      <c r="V15" s="248">
        <f>$B15*ParâmeetrosTRU!V15</f>
        <v>0.99999999999999978</v>
      </c>
      <c r="W15" s="248">
        <f>$B15*ParâmeetrosTRU!W15</f>
        <v>0</v>
      </c>
      <c r="X15" s="248">
        <f>$B15*ParâmeetrosTRU!X15</f>
        <v>0</v>
      </c>
      <c r="Y15" s="248">
        <f>$B15*ParâmeetrosTRU!Y15</f>
        <v>3424.9999999999995</v>
      </c>
    </row>
    <row r="16" spans="1:27" s="54" customFormat="1" ht="10.15" customHeight="1">
      <c r="A16" s="187" t="s">
        <v>476</v>
      </c>
      <c r="B16" s="192">
        <f t="shared" si="0"/>
        <v>140737.00000000023</v>
      </c>
      <c r="C16" s="248">
        <f>$B16*ParâmeetrosTRU!C16</f>
        <v>-1186683.0000000021</v>
      </c>
      <c r="D16" s="248">
        <f>$B16*ParâmeetrosTRU!D16</f>
        <v>0</v>
      </c>
      <c r="E16" s="248">
        <f>$B16*ParâmeetrosTRU!E16</f>
        <v>0</v>
      </c>
      <c r="F16" s="248">
        <f>$B16*ParâmeetrosTRU!F16</f>
        <v>0</v>
      </c>
      <c r="G16" s="248">
        <f>$B16*ParâmeetrosTRU!G16</f>
        <v>0</v>
      </c>
      <c r="H16" s="248">
        <f>$B16*ParâmeetrosTRU!H16</f>
        <v>2617.0000000000045</v>
      </c>
      <c r="I16" s="248">
        <f>$B16*ParâmeetrosTRU!I16</f>
        <v>2617.0000000000045</v>
      </c>
      <c r="J16" s="248">
        <f>$B16*ParâmeetrosTRU!J16</f>
        <v>1324803.0000000023</v>
      </c>
      <c r="K16" s="248">
        <f>$B16*ParâmeetrosTRU!K16</f>
        <v>0</v>
      </c>
      <c r="L16" s="248">
        <f>$B16*ParâmeetrosTRU!L16</f>
        <v>32.000000000000057</v>
      </c>
      <c r="M16" s="248">
        <f>$B16*ParâmeetrosTRU!M16</f>
        <v>24811.000000000044</v>
      </c>
      <c r="N16" s="248">
        <f>$B16*ParâmeetrosTRU!N16</f>
        <v>34.000000000000057</v>
      </c>
      <c r="O16" s="248">
        <f>$B16*ParâmeetrosTRU!O16</f>
        <v>12.00000000000002</v>
      </c>
      <c r="P16" s="248">
        <f>$B16*ParâmeetrosTRU!P16</f>
        <v>1288917.0000000021</v>
      </c>
      <c r="Q16" s="248">
        <f>$B16*ParâmeetrosTRU!Q16</f>
        <v>830.00000000000148</v>
      </c>
      <c r="R16" s="248">
        <f>$B16*ParâmeetrosTRU!R16</f>
        <v>3788.0000000000064</v>
      </c>
      <c r="S16" s="248">
        <f>$B16*ParâmeetrosTRU!S16</f>
        <v>0</v>
      </c>
      <c r="T16" s="248">
        <f>$B16*ParâmeetrosTRU!T16</f>
        <v>0</v>
      </c>
      <c r="U16" s="248">
        <f>$B16*ParâmeetrosTRU!U16</f>
        <v>2678.0000000000045</v>
      </c>
      <c r="V16" s="248">
        <f>$B16*ParâmeetrosTRU!V16</f>
        <v>330.00000000000057</v>
      </c>
      <c r="W16" s="248">
        <f>$B16*ParâmeetrosTRU!W16</f>
        <v>0</v>
      </c>
      <c r="X16" s="248">
        <f>$B16*ParâmeetrosTRU!X16</f>
        <v>0</v>
      </c>
      <c r="Y16" s="248">
        <f>$B16*ParâmeetrosTRU!Y16</f>
        <v>3371.0000000000055</v>
      </c>
    </row>
    <row r="17" spans="1:32" s="54" customFormat="1" ht="10.15" customHeight="1">
      <c r="A17" s="187" t="s">
        <v>477</v>
      </c>
      <c r="B17" s="192">
        <f t="shared" si="0"/>
        <v>568288.00000000035</v>
      </c>
      <c r="C17" s="248">
        <f>$B17*ParâmeetrosTRU!C17</f>
        <v>0</v>
      </c>
      <c r="D17" s="248">
        <f>$B17*ParâmeetrosTRU!D17</f>
        <v>-97641.000000000058</v>
      </c>
      <c r="E17" s="248">
        <f>$B17*ParâmeetrosTRU!E17</f>
        <v>0</v>
      </c>
      <c r="F17" s="248">
        <f>$B17*ParâmeetrosTRU!F17</f>
        <v>0</v>
      </c>
      <c r="G17" s="248">
        <f>$B17*ParâmeetrosTRU!G17</f>
        <v>10588.000000000007</v>
      </c>
      <c r="H17" s="248">
        <f>$B17*ParâmeetrosTRU!H17</f>
        <v>19326.000000000011</v>
      </c>
      <c r="I17" s="248">
        <f>$B17*ParâmeetrosTRU!I17</f>
        <v>29914.000000000018</v>
      </c>
      <c r="J17" s="248">
        <f>$B17*ParâmeetrosTRU!J17</f>
        <v>636015.00000000035</v>
      </c>
      <c r="K17" s="248">
        <f>$B17*ParâmeetrosTRU!K17</f>
        <v>0</v>
      </c>
      <c r="L17" s="248">
        <f>$B17*ParâmeetrosTRU!L17</f>
        <v>0</v>
      </c>
      <c r="M17" s="248">
        <f>$B17*ParâmeetrosTRU!M17</f>
        <v>0</v>
      </c>
      <c r="N17" s="248">
        <f>$B17*ParâmeetrosTRU!N17</f>
        <v>458.00000000000028</v>
      </c>
      <c r="O17" s="248">
        <f>$B17*ParâmeetrosTRU!O17</f>
        <v>0</v>
      </c>
      <c r="P17" s="248">
        <f>$B17*ParâmeetrosTRU!P17</f>
        <v>3008.0000000000018</v>
      </c>
      <c r="Q17" s="248">
        <f>$B17*ParâmeetrosTRU!Q17</f>
        <v>611351.00000000035</v>
      </c>
      <c r="R17" s="248">
        <f>$B17*ParâmeetrosTRU!R17</f>
        <v>0</v>
      </c>
      <c r="S17" s="248">
        <f>$B17*ParâmeetrosTRU!S17</f>
        <v>0</v>
      </c>
      <c r="T17" s="248">
        <f>$B17*ParâmeetrosTRU!T17</f>
        <v>0</v>
      </c>
      <c r="U17" s="248">
        <f>$B17*ParâmeetrosTRU!U17</f>
        <v>95.000000000000057</v>
      </c>
      <c r="V17" s="248">
        <f>$B17*ParâmeetrosTRU!V17</f>
        <v>4668.0000000000027</v>
      </c>
      <c r="W17" s="248">
        <f>$B17*ParâmeetrosTRU!W17</f>
        <v>0</v>
      </c>
      <c r="X17" s="248">
        <f>$B17*ParâmeetrosTRU!X17</f>
        <v>0</v>
      </c>
      <c r="Y17" s="248">
        <f>$B17*ParâmeetrosTRU!Y17</f>
        <v>16435.000000000011</v>
      </c>
    </row>
    <row r="18" spans="1:32" s="54" customFormat="1" ht="10.15" customHeight="1">
      <c r="A18" s="187" t="s">
        <v>478</v>
      </c>
      <c r="B18" s="192">
        <f t="shared" si="0"/>
        <v>535541.00000000035</v>
      </c>
      <c r="C18" s="248">
        <f>$B18*ParâmeetrosTRU!C18</f>
        <v>11539.000000000009</v>
      </c>
      <c r="D18" s="248">
        <f>$B18*ParâmeetrosTRU!D18</f>
        <v>62.000000000000036</v>
      </c>
      <c r="E18" s="248">
        <f>$B18*ParâmeetrosTRU!E18</f>
        <v>12.000000000000009</v>
      </c>
      <c r="F18" s="248">
        <f>$B18*ParâmeetrosTRU!F18</f>
        <v>0</v>
      </c>
      <c r="G18" s="248">
        <f>$B18*ParâmeetrosTRU!G18</f>
        <v>38831.000000000029</v>
      </c>
      <c r="H18" s="248">
        <f>$B18*ParâmeetrosTRU!H18</f>
        <v>17569.000000000011</v>
      </c>
      <c r="I18" s="248">
        <f>$B18*ParâmeetrosTRU!I18</f>
        <v>56412.000000000036</v>
      </c>
      <c r="J18" s="248">
        <f>$B18*ParâmeetrosTRU!J18</f>
        <v>467528.00000000035</v>
      </c>
      <c r="K18" s="248">
        <f>$B18*ParâmeetrosTRU!K18</f>
        <v>0</v>
      </c>
      <c r="L18" s="248">
        <f>$B18*ParâmeetrosTRU!L18</f>
        <v>0</v>
      </c>
      <c r="M18" s="248">
        <f>$B18*ParâmeetrosTRU!M18</f>
        <v>0</v>
      </c>
      <c r="N18" s="248">
        <f>$B18*ParâmeetrosTRU!N18</f>
        <v>0</v>
      </c>
      <c r="O18" s="248">
        <f>$B18*ParâmeetrosTRU!O18</f>
        <v>0</v>
      </c>
      <c r="P18" s="248">
        <f>$B18*ParâmeetrosTRU!P18</f>
        <v>1047.0000000000007</v>
      </c>
      <c r="Q18" s="248">
        <f>$B18*ParâmeetrosTRU!Q18</f>
        <v>48.000000000000036</v>
      </c>
      <c r="R18" s="248">
        <f>$B18*ParâmeetrosTRU!R18</f>
        <v>426997.00000000029</v>
      </c>
      <c r="S18" s="248">
        <f>$B18*ParâmeetrosTRU!S18</f>
        <v>1248.0000000000009</v>
      </c>
      <c r="T18" s="248">
        <f>$B18*ParâmeetrosTRU!T18</f>
        <v>0</v>
      </c>
      <c r="U18" s="248">
        <f>$B18*ParâmeetrosTRU!U18</f>
        <v>137.00000000000009</v>
      </c>
      <c r="V18" s="248">
        <f>$B18*ParâmeetrosTRU!V18</f>
        <v>2089.0000000000014</v>
      </c>
      <c r="W18" s="248">
        <f>$B18*ParâmeetrosTRU!W18</f>
        <v>0</v>
      </c>
      <c r="X18" s="248">
        <f>$B18*ParâmeetrosTRU!X18</f>
        <v>0</v>
      </c>
      <c r="Y18" s="248">
        <f>$B18*ParâmeetrosTRU!Y18</f>
        <v>35962.000000000022</v>
      </c>
    </row>
    <row r="19" spans="1:32" s="54" customFormat="1" ht="9.75" customHeight="1">
      <c r="A19" s="193" t="s">
        <v>479</v>
      </c>
      <c r="B19" s="192">
        <f t="shared" si="0"/>
        <v>800076.00000000047</v>
      </c>
      <c r="C19" s="248">
        <f>$B19*ParâmeetrosTRU!C19</f>
        <v>0</v>
      </c>
      <c r="D19" s="248">
        <f>$B19*ParâmeetrosTRU!D19</f>
        <v>0</v>
      </c>
      <c r="E19" s="248">
        <f>$B19*ParâmeetrosTRU!E19</f>
        <v>0</v>
      </c>
      <c r="F19" s="248">
        <f>$B19*ParâmeetrosTRU!F19</f>
        <v>0</v>
      </c>
      <c r="G19" s="248">
        <f>$B19*ParâmeetrosTRU!G19</f>
        <v>0</v>
      </c>
      <c r="H19" s="248">
        <f>$B19*ParâmeetrosTRU!H19</f>
        <v>67488.000000000044</v>
      </c>
      <c r="I19" s="248">
        <f>$B19*ParâmeetrosTRU!I19</f>
        <v>67488.000000000044</v>
      </c>
      <c r="J19" s="248">
        <f>$B19*ParâmeetrosTRU!J19</f>
        <v>732588.00000000047</v>
      </c>
      <c r="K19" s="248">
        <f>$B19*ParâmeetrosTRU!K19</f>
        <v>0</v>
      </c>
      <c r="L19" s="248">
        <f>$B19*ParâmeetrosTRU!L19</f>
        <v>0</v>
      </c>
      <c r="M19" s="248">
        <f>$B19*ParâmeetrosTRU!M19</f>
        <v>0</v>
      </c>
      <c r="N19" s="248">
        <f>$B19*ParâmeetrosTRU!N19</f>
        <v>0</v>
      </c>
      <c r="O19" s="248">
        <f>$B19*ParâmeetrosTRU!O19</f>
        <v>0</v>
      </c>
      <c r="P19" s="248">
        <f>$B19*ParâmeetrosTRU!P19</f>
        <v>0</v>
      </c>
      <c r="Q19" s="248">
        <f>$B19*ParâmeetrosTRU!Q19</f>
        <v>0</v>
      </c>
      <c r="R19" s="248">
        <f>$B19*ParâmeetrosTRU!R19</f>
        <v>0</v>
      </c>
      <c r="S19" s="248">
        <f>$B19*ParâmeetrosTRU!S19</f>
        <v>687862.00000000047</v>
      </c>
      <c r="T19" s="248">
        <f>$B19*ParâmeetrosTRU!T19</f>
        <v>0</v>
      </c>
      <c r="U19" s="248">
        <f>$B19*ParâmeetrosTRU!U19</f>
        <v>0</v>
      </c>
      <c r="V19" s="248">
        <f>$B19*ParâmeetrosTRU!V19</f>
        <v>434.00000000000028</v>
      </c>
      <c r="W19" s="248">
        <f>$B19*ParâmeetrosTRU!W19</f>
        <v>0</v>
      </c>
      <c r="X19" s="248">
        <f>$B19*ParâmeetrosTRU!X19</f>
        <v>0</v>
      </c>
      <c r="Y19" s="248">
        <f>$B19*ParâmeetrosTRU!Y19</f>
        <v>44292.000000000022</v>
      </c>
    </row>
    <row r="20" spans="1:32" s="54" customFormat="1" ht="10.15" customHeight="1">
      <c r="A20" s="187" t="s">
        <v>480</v>
      </c>
      <c r="B20" s="192">
        <f t="shared" si="0"/>
        <v>793035.00000000047</v>
      </c>
      <c r="C20" s="248">
        <f>$B20*ParâmeetrosTRU!C20</f>
        <v>0</v>
      </c>
      <c r="D20" s="248">
        <f>$B20*ParâmeetrosTRU!D20</f>
        <v>0</v>
      </c>
      <c r="E20" s="248">
        <f>$B20*ParâmeetrosTRU!E20</f>
        <v>0</v>
      </c>
      <c r="F20" s="248">
        <f>$B20*ParâmeetrosTRU!F20</f>
        <v>0</v>
      </c>
      <c r="G20" s="248">
        <f>$B20*ParâmeetrosTRU!G20</f>
        <v>0</v>
      </c>
      <c r="H20" s="248">
        <f>$B20*ParâmeetrosTRU!H20</f>
        <v>1248.0000000000007</v>
      </c>
      <c r="I20" s="248">
        <f>$B20*ParâmeetrosTRU!I20</f>
        <v>1248.0000000000007</v>
      </c>
      <c r="J20" s="248">
        <f>$B20*ParâmeetrosTRU!J20</f>
        <v>791787.00000000047</v>
      </c>
      <c r="K20" s="248">
        <f>$B20*ParâmeetrosTRU!K20</f>
        <v>92.000000000000057</v>
      </c>
      <c r="L20" s="248">
        <f>$B20*ParâmeetrosTRU!L20</f>
        <v>670.00000000000034</v>
      </c>
      <c r="M20" s="248">
        <f>$B20*ParâmeetrosTRU!M20</f>
        <v>26394.000000000015</v>
      </c>
      <c r="N20" s="248">
        <f>$B20*ParâmeetrosTRU!N20</f>
        <v>12370.000000000007</v>
      </c>
      <c r="O20" s="248">
        <f>$B20*ParâmeetrosTRU!O20</f>
        <v>3762.0000000000023</v>
      </c>
      <c r="P20" s="248">
        <f>$B20*ParâmeetrosTRU!P20</f>
        <v>2639.0000000000018</v>
      </c>
      <c r="Q20" s="248">
        <f>$B20*ParâmeetrosTRU!Q20</f>
        <v>5161.0000000000036</v>
      </c>
      <c r="R20" s="248">
        <f>$B20*ParâmeetrosTRU!R20</f>
        <v>1526.0000000000009</v>
      </c>
      <c r="S20" s="248">
        <f>$B20*ParâmeetrosTRU!S20</f>
        <v>9080.0000000000055</v>
      </c>
      <c r="T20" s="248">
        <f>$B20*ParâmeetrosTRU!T20</f>
        <v>711631.00000000047</v>
      </c>
      <c r="U20" s="248">
        <f>$B20*ParâmeetrosTRU!U20</f>
        <v>8689.0000000000055</v>
      </c>
      <c r="V20" s="248">
        <f>$B20*ParâmeetrosTRU!V20</f>
        <v>2641.0000000000018</v>
      </c>
      <c r="W20" s="248">
        <f>$B20*ParâmeetrosTRU!W20</f>
        <v>0</v>
      </c>
      <c r="X20" s="248">
        <f>$B20*ParâmeetrosTRU!X20</f>
        <v>0</v>
      </c>
      <c r="Y20" s="248">
        <f>$B20*ParâmeetrosTRU!Y20</f>
        <v>7132.0000000000036</v>
      </c>
      <c r="AB20" s="192"/>
    </row>
    <row r="21" spans="1:32" s="54" customFormat="1" ht="10.15" customHeight="1">
      <c r="A21" s="187" t="s">
        <v>481</v>
      </c>
      <c r="B21" s="192">
        <f t="shared" si="0"/>
        <v>2125358.0000000014</v>
      </c>
      <c r="C21" s="248">
        <f>$B21*ParâmeetrosTRU!C21</f>
        <v>0</v>
      </c>
      <c r="D21" s="248">
        <f>$B21*ParâmeetrosTRU!D21</f>
        <v>0</v>
      </c>
      <c r="E21" s="248">
        <f>$B21*ParâmeetrosTRU!E21</f>
        <v>3.0000000000000022</v>
      </c>
      <c r="F21" s="248">
        <f>$B21*ParâmeetrosTRU!F21</f>
        <v>0</v>
      </c>
      <c r="G21" s="248">
        <f>$B21*ParâmeetrosTRU!G21</f>
        <v>23099.000000000015</v>
      </c>
      <c r="H21" s="248">
        <f>$B21*ParâmeetrosTRU!H21</f>
        <v>74895.000000000044</v>
      </c>
      <c r="I21" s="248">
        <f>$B21*ParâmeetrosTRU!I21</f>
        <v>97997.000000000073</v>
      </c>
      <c r="J21" s="248">
        <f>$B21*ParâmeetrosTRU!J21</f>
        <v>2027361.0000000014</v>
      </c>
      <c r="K21" s="248">
        <f>$B21*ParâmeetrosTRU!K21</f>
        <v>114.00000000000007</v>
      </c>
      <c r="L21" s="248">
        <f>$B21*ParâmeetrosTRU!L21</f>
        <v>179.00000000000011</v>
      </c>
      <c r="M21" s="248">
        <f>$B21*ParâmeetrosTRU!M21</f>
        <v>13473.000000000009</v>
      </c>
      <c r="N21" s="248">
        <f>$B21*ParâmeetrosTRU!N21</f>
        <v>342.00000000000023</v>
      </c>
      <c r="O21" s="248">
        <f>$B21*ParâmeetrosTRU!O21</f>
        <v>1387.0000000000011</v>
      </c>
      <c r="P21" s="248">
        <f>$B21*ParâmeetrosTRU!P21</f>
        <v>16909.000000000011</v>
      </c>
      <c r="Q21" s="248">
        <f>$B21*ParâmeetrosTRU!Q21</f>
        <v>11258.000000000007</v>
      </c>
      <c r="R21" s="248">
        <f>$B21*ParâmeetrosTRU!R21</f>
        <v>2680.0000000000018</v>
      </c>
      <c r="S21" s="248">
        <f>$B21*ParâmeetrosTRU!S21</f>
        <v>2713.0000000000018</v>
      </c>
      <c r="T21" s="248">
        <f>$B21*ParâmeetrosTRU!T21</f>
        <v>0</v>
      </c>
      <c r="U21" s="248">
        <f>$B21*ParâmeetrosTRU!U21</f>
        <v>1797276.0000000012</v>
      </c>
      <c r="V21" s="248">
        <f>$B21*ParâmeetrosTRU!V21</f>
        <v>51086.000000000036</v>
      </c>
      <c r="W21" s="248">
        <f>$B21*ParâmeetrosTRU!W21</f>
        <v>0</v>
      </c>
      <c r="X21" s="248">
        <f>$B21*ParâmeetrosTRU!X21</f>
        <v>0</v>
      </c>
      <c r="Y21" s="248">
        <f>$B21*ParâmeetrosTRU!Y21</f>
        <v>129944.00000000009</v>
      </c>
    </row>
    <row r="22" spans="1:32" s="54" customFormat="1" ht="10.15" customHeight="1">
      <c r="A22" s="187" t="s">
        <v>482</v>
      </c>
      <c r="B22" s="192">
        <f t="shared" si="0"/>
        <v>1465281</v>
      </c>
      <c r="C22" s="248">
        <f>$B22*ParâmeetrosTRU!C22</f>
        <v>0</v>
      </c>
      <c r="D22" s="248">
        <f>$B22*ParâmeetrosTRU!D22</f>
        <v>0</v>
      </c>
      <c r="E22" s="248">
        <f>$B22*ParâmeetrosTRU!E22</f>
        <v>0</v>
      </c>
      <c r="F22" s="248">
        <f>$B22*ParâmeetrosTRU!F22</f>
        <v>0</v>
      </c>
      <c r="G22" s="248">
        <f>$B22*ParâmeetrosTRU!G22</f>
        <v>0</v>
      </c>
      <c r="H22" s="248">
        <f>$B22*ParâmeetrosTRU!H22</f>
        <v>0</v>
      </c>
      <c r="I22" s="248">
        <f>$B22*ParâmeetrosTRU!I22</f>
        <v>0</v>
      </c>
      <c r="J22" s="248">
        <f>$B22*ParâmeetrosTRU!J22</f>
        <v>1465281</v>
      </c>
      <c r="K22" s="248">
        <f>$B22*ParâmeetrosTRU!K22</f>
        <v>0</v>
      </c>
      <c r="L22" s="248">
        <f>$B22*ParâmeetrosTRU!L22</f>
        <v>0</v>
      </c>
      <c r="M22" s="248">
        <f>$B22*ParâmeetrosTRU!M22</f>
        <v>0</v>
      </c>
      <c r="N22" s="248">
        <f>$B22*ParâmeetrosTRU!N22</f>
        <v>0</v>
      </c>
      <c r="O22" s="248">
        <f>$B22*ParâmeetrosTRU!O22</f>
        <v>0</v>
      </c>
      <c r="P22" s="248">
        <f>$B22*ParâmeetrosTRU!P22</f>
        <v>0</v>
      </c>
      <c r="Q22" s="248">
        <f>$B22*ParâmeetrosTRU!Q22</f>
        <v>0</v>
      </c>
      <c r="R22" s="248">
        <f>$B22*ParâmeetrosTRU!R22</f>
        <v>0</v>
      </c>
      <c r="S22" s="248">
        <f>$B22*ParâmeetrosTRU!S22</f>
        <v>0</v>
      </c>
      <c r="T22" s="248">
        <f>$B22*ParâmeetrosTRU!T22</f>
        <v>0</v>
      </c>
      <c r="U22" s="248">
        <f>$B22*ParâmeetrosTRU!U22</f>
        <v>0</v>
      </c>
      <c r="V22" s="248">
        <f>$B22*ParâmeetrosTRU!V22</f>
        <v>1465281</v>
      </c>
      <c r="W22" s="248">
        <f>$B22*ParâmeetrosTRU!W22</f>
        <v>0</v>
      </c>
      <c r="X22" s="248">
        <f>$B22*ParâmeetrosTRU!X22</f>
        <v>0</v>
      </c>
      <c r="Y22" s="248">
        <f>$B22*ParâmeetrosTRU!Y22</f>
        <v>0</v>
      </c>
    </row>
    <row r="23" spans="1:32" s="54" customFormat="1" ht="10.15" customHeight="1">
      <c r="A23" s="187"/>
      <c r="B23" s="192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192"/>
    </row>
    <row r="24" spans="1:32" s="54" customFormat="1" ht="10.15" customHeight="1">
      <c r="A24" s="187" t="s">
        <v>510</v>
      </c>
      <c r="B24" s="192">
        <f>SUM(B11:B22)</f>
        <v>15526868.000000006</v>
      </c>
      <c r="C24" s="192">
        <f t="shared" ref="C24:X24" si="1">SUM(C11:C22)</f>
        <v>-1.6207195585593581E-9</v>
      </c>
      <c r="D24" s="192">
        <f t="shared" si="1"/>
        <v>-2.9068303319945699E-11</v>
      </c>
      <c r="E24" s="192">
        <f t="shared" si="1"/>
        <v>45203.000000000022</v>
      </c>
      <c r="F24" s="192">
        <f t="shared" si="1"/>
        <v>55894.000000000029</v>
      </c>
      <c r="G24" s="192">
        <f t="shared" si="1"/>
        <v>511384.00000000023</v>
      </c>
      <c r="H24" s="192">
        <f t="shared" si="1"/>
        <v>383923.00000000017</v>
      </c>
      <c r="I24" s="192">
        <f t="shared" si="1"/>
        <v>1014660.0000000003</v>
      </c>
      <c r="J24" s="192">
        <f t="shared" si="1"/>
        <v>14512208.000000006</v>
      </c>
      <c r="K24" s="192">
        <f t="shared" si="1"/>
        <v>795761.00000000012</v>
      </c>
      <c r="L24" s="192">
        <f t="shared" si="1"/>
        <v>442031.00000000006</v>
      </c>
      <c r="M24" s="192">
        <f t="shared" si="1"/>
        <v>3769376.0000000019</v>
      </c>
      <c r="N24" s="192">
        <f t="shared" si="1"/>
        <v>454741.00000000006</v>
      </c>
      <c r="O24" s="192">
        <f t="shared" si="1"/>
        <v>612500.99999999988</v>
      </c>
      <c r="P24" s="192">
        <f t="shared" si="1"/>
        <v>1404551.0000000021</v>
      </c>
      <c r="Q24" s="192">
        <f t="shared" si="1"/>
        <v>628901.00000000035</v>
      </c>
      <c r="R24" s="192">
        <f t="shared" si="1"/>
        <v>435648.00000000029</v>
      </c>
      <c r="S24" s="192">
        <f t="shared" si="1"/>
        <v>700903.00000000047</v>
      </c>
      <c r="T24" s="192">
        <f t="shared" si="1"/>
        <v>711631.00000000047</v>
      </c>
      <c r="U24" s="192">
        <f t="shared" si="1"/>
        <v>1813025.0000000012</v>
      </c>
      <c r="V24" s="192">
        <f t="shared" si="1"/>
        <v>1537130</v>
      </c>
      <c r="W24" s="192">
        <f t="shared" si="1"/>
        <v>0</v>
      </c>
      <c r="X24" s="192">
        <f t="shared" si="1"/>
        <v>0</v>
      </c>
      <c r="Y24" s="192">
        <f>SUM(Y11:Y22)</f>
        <v>1206009.0000000005</v>
      </c>
    </row>
    <row r="25" spans="1:32" s="54" customFormat="1" ht="6" customHeight="1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</row>
    <row r="26" spans="1:32" s="54" customFormat="1" ht="15" customHeight="1">
      <c r="A26" s="54" t="s">
        <v>106</v>
      </c>
    </row>
    <row r="27" spans="1:32" s="54" customFormat="1" ht="9" customHeight="1">
      <c r="A27" s="187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</row>
    <row r="28" spans="1:32" s="54" customFormat="1" ht="9" customHeight="1">
      <c r="A28" s="187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</row>
    <row r="29" spans="1:32" s="54" customFormat="1" ht="9" customHeight="1">
      <c r="A29" s="187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</row>
    <row r="30" spans="1:32" ht="19.899999999999999" customHeight="1"/>
    <row r="31" spans="1:32" s="171" customFormat="1" ht="12" customHeight="1">
      <c r="A31" s="170" t="s">
        <v>511</v>
      </c>
    </row>
    <row r="32" spans="1:32" s="54" customFormat="1" ht="10.15" customHeight="1">
      <c r="A32" s="198"/>
      <c r="AE32" s="178"/>
      <c r="AF32" s="178" t="s">
        <v>485</v>
      </c>
    </row>
    <row r="33" spans="1:90" s="54" customFormat="1" ht="19.5" customHeight="1" thickBot="1">
      <c r="A33" s="397" t="s">
        <v>471</v>
      </c>
      <c r="B33" s="399" t="s">
        <v>490</v>
      </c>
      <c r="C33" s="399" t="s">
        <v>491</v>
      </c>
      <c r="D33" s="399" t="s">
        <v>492</v>
      </c>
      <c r="E33" s="399" t="s">
        <v>493</v>
      </c>
      <c r="F33" s="399" t="s">
        <v>494</v>
      </c>
      <c r="G33" s="399" t="s">
        <v>495</v>
      </c>
      <c r="H33" s="399" t="s">
        <v>512</v>
      </c>
      <c r="I33" s="399" t="s">
        <v>513</v>
      </c>
      <c r="J33" s="399" t="s">
        <v>498</v>
      </c>
      <c r="K33" s="199" t="s">
        <v>514</v>
      </c>
      <c r="L33" s="199"/>
      <c r="M33" s="199"/>
      <c r="N33" s="199"/>
      <c r="O33" s="199"/>
      <c r="P33" s="199"/>
      <c r="Q33" s="200"/>
      <c r="R33" s="199"/>
      <c r="S33" s="199"/>
      <c r="T33" s="199"/>
      <c r="U33" s="199"/>
      <c r="V33" s="199"/>
      <c r="W33" s="201"/>
      <c r="X33" s="386" t="s">
        <v>515</v>
      </c>
      <c r="Y33" s="202" t="s">
        <v>516</v>
      </c>
      <c r="Z33" s="203"/>
      <c r="AA33" s="203"/>
      <c r="AB33" s="203"/>
      <c r="AC33" s="203"/>
      <c r="AD33" s="203"/>
      <c r="AE33" s="203"/>
      <c r="AF33" s="389" t="s">
        <v>517</v>
      </c>
    </row>
    <row r="34" spans="1:90" s="54" customFormat="1" ht="21" customHeight="1" thickTop="1">
      <c r="A34" s="397"/>
      <c r="B34" s="395"/>
      <c r="C34" s="400"/>
      <c r="D34" s="400"/>
      <c r="E34" s="399"/>
      <c r="F34" s="399"/>
      <c r="G34" s="399"/>
      <c r="H34" s="399"/>
      <c r="I34" s="399"/>
      <c r="J34" s="400"/>
      <c r="K34" s="392" t="s">
        <v>499</v>
      </c>
      <c r="L34" s="392" t="s">
        <v>473</v>
      </c>
      <c r="M34" s="392" t="s">
        <v>500</v>
      </c>
      <c r="N34" s="392" t="s">
        <v>501</v>
      </c>
      <c r="O34" s="392" t="s">
        <v>502</v>
      </c>
      <c r="P34" s="392" t="s">
        <v>476</v>
      </c>
      <c r="Q34" s="392" t="s">
        <v>503</v>
      </c>
      <c r="R34" s="392" t="s">
        <v>504</v>
      </c>
      <c r="S34" s="392" t="s">
        <v>505</v>
      </c>
      <c r="T34" s="392" t="s">
        <v>506</v>
      </c>
      <c r="U34" s="392" t="s">
        <v>481</v>
      </c>
      <c r="V34" s="392" t="s">
        <v>507</v>
      </c>
      <c r="W34" s="392" t="s">
        <v>508</v>
      </c>
      <c r="X34" s="387"/>
      <c r="Y34" s="371" t="s">
        <v>518</v>
      </c>
      <c r="Z34" s="371" t="s">
        <v>519</v>
      </c>
      <c r="AA34" s="383" t="s">
        <v>520</v>
      </c>
      <c r="AB34" s="371" t="s">
        <v>521</v>
      </c>
      <c r="AC34" s="371" t="s">
        <v>522</v>
      </c>
      <c r="AD34" s="371" t="s">
        <v>523</v>
      </c>
      <c r="AE34" s="371" t="s">
        <v>574</v>
      </c>
      <c r="AF34" s="390"/>
      <c r="AH34" s="392" t="s">
        <v>499</v>
      </c>
      <c r="AI34" s="392" t="s">
        <v>473</v>
      </c>
      <c r="AJ34" s="392" t="s">
        <v>500</v>
      </c>
      <c r="AK34" s="392" t="s">
        <v>501</v>
      </c>
      <c r="AL34" s="392" t="s">
        <v>502</v>
      </c>
      <c r="AM34" s="392" t="s">
        <v>476</v>
      </c>
      <c r="AN34" s="392" t="s">
        <v>503</v>
      </c>
      <c r="AO34" s="392" t="s">
        <v>504</v>
      </c>
      <c r="AP34" s="392" t="s">
        <v>505</v>
      </c>
      <c r="AQ34" s="392" t="s">
        <v>506</v>
      </c>
      <c r="AR34" s="392" t="s">
        <v>481</v>
      </c>
      <c r="AS34" s="392" t="s">
        <v>507</v>
      </c>
      <c r="BH34" s="392" t="s">
        <v>499</v>
      </c>
      <c r="BI34" s="392" t="s">
        <v>473</v>
      </c>
      <c r="BJ34" s="392" t="s">
        <v>500</v>
      </c>
      <c r="BK34" s="392" t="s">
        <v>501</v>
      </c>
      <c r="BL34" s="392" t="s">
        <v>502</v>
      </c>
      <c r="BM34" s="392" t="s">
        <v>476</v>
      </c>
      <c r="BN34" s="392" t="s">
        <v>503</v>
      </c>
      <c r="BO34" s="392" t="s">
        <v>504</v>
      </c>
      <c r="BP34" s="392" t="s">
        <v>505</v>
      </c>
      <c r="BQ34" s="392" t="s">
        <v>506</v>
      </c>
      <c r="BR34" s="392" t="s">
        <v>481</v>
      </c>
      <c r="BS34" s="392" t="s">
        <v>507</v>
      </c>
    </row>
    <row r="35" spans="1:90" s="54" customFormat="1" ht="21" customHeight="1">
      <c r="A35" s="397"/>
      <c r="B35" s="395"/>
      <c r="C35" s="400"/>
      <c r="D35" s="400"/>
      <c r="E35" s="399"/>
      <c r="F35" s="399"/>
      <c r="G35" s="399"/>
      <c r="H35" s="399"/>
      <c r="I35" s="399"/>
      <c r="J35" s="400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87"/>
      <c r="Y35" s="395"/>
      <c r="Z35" s="372"/>
      <c r="AA35" s="384"/>
      <c r="AB35" s="372"/>
      <c r="AC35" s="374"/>
      <c r="AD35" s="374"/>
      <c r="AE35" s="374"/>
      <c r="AF35" s="390"/>
      <c r="AH35" s="393"/>
      <c r="AI35" s="393"/>
      <c r="AJ35" s="393"/>
      <c r="AK35" s="393"/>
      <c r="AL35" s="393"/>
      <c r="AM35" s="393"/>
      <c r="AN35" s="393"/>
      <c r="AO35" s="393"/>
      <c r="AP35" s="393"/>
      <c r="AQ35" s="393"/>
      <c r="AR35" s="393"/>
      <c r="AS35" s="393"/>
      <c r="BH35" s="393"/>
      <c r="BI35" s="393"/>
      <c r="BJ35" s="393"/>
      <c r="BK35" s="393"/>
      <c r="BL35" s="393"/>
      <c r="BM35" s="393"/>
      <c r="BN35" s="393"/>
      <c r="BO35" s="393"/>
      <c r="BP35" s="393"/>
      <c r="BQ35" s="393"/>
      <c r="BR35" s="393"/>
      <c r="BS35" s="393"/>
    </row>
    <row r="36" spans="1:90" s="54" customFormat="1" ht="21" customHeight="1">
      <c r="A36" s="397"/>
      <c r="B36" s="395"/>
      <c r="C36" s="400"/>
      <c r="D36" s="400"/>
      <c r="E36" s="399"/>
      <c r="F36" s="399"/>
      <c r="G36" s="399"/>
      <c r="H36" s="399"/>
      <c r="I36" s="399"/>
      <c r="J36" s="400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87"/>
      <c r="Y36" s="395"/>
      <c r="Z36" s="372"/>
      <c r="AA36" s="384"/>
      <c r="AB36" s="372"/>
      <c r="AC36" s="374"/>
      <c r="AD36" s="374"/>
      <c r="AE36" s="374"/>
      <c r="AF36" s="390"/>
      <c r="AH36" s="393"/>
      <c r="AI36" s="393"/>
      <c r="AJ36" s="393"/>
      <c r="AK36" s="393"/>
      <c r="AL36" s="393"/>
      <c r="AM36" s="393"/>
      <c r="AN36" s="393"/>
      <c r="AO36" s="393"/>
      <c r="AP36" s="393"/>
      <c r="AQ36" s="393"/>
      <c r="AR36" s="393"/>
      <c r="AS36" s="393"/>
      <c r="BH36" s="393"/>
      <c r="BI36" s="393"/>
      <c r="BJ36" s="393"/>
      <c r="BK36" s="393"/>
      <c r="BL36" s="393"/>
      <c r="BM36" s="393"/>
      <c r="BN36" s="393"/>
      <c r="BO36" s="393"/>
      <c r="BP36" s="393"/>
      <c r="BQ36" s="393"/>
      <c r="BR36" s="393"/>
      <c r="BS36" s="393"/>
    </row>
    <row r="37" spans="1:90" s="54" customFormat="1" ht="21" customHeight="1" thickBot="1">
      <c r="A37" s="398"/>
      <c r="B37" s="396"/>
      <c r="C37" s="401"/>
      <c r="D37" s="401"/>
      <c r="E37" s="402"/>
      <c r="F37" s="402"/>
      <c r="G37" s="402"/>
      <c r="H37" s="402"/>
      <c r="I37" s="402"/>
      <c r="J37" s="401"/>
      <c r="K37" s="394"/>
      <c r="L37" s="394"/>
      <c r="M37" s="394"/>
      <c r="N37" s="394"/>
      <c r="O37" s="394"/>
      <c r="P37" s="394"/>
      <c r="Q37" s="394"/>
      <c r="R37" s="394"/>
      <c r="S37" s="394"/>
      <c r="T37" s="394"/>
      <c r="U37" s="394"/>
      <c r="V37" s="394"/>
      <c r="W37" s="394"/>
      <c r="X37" s="388"/>
      <c r="Y37" s="396"/>
      <c r="Z37" s="373"/>
      <c r="AA37" s="385"/>
      <c r="AB37" s="373"/>
      <c r="AC37" s="375"/>
      <c r="AD37" s="375"/>
      <c r="AE37" s="375"/>
      <c r="AF37" s="391"/>
      <c r="AH37" s="394"/>
      <c r="AI37" s="394"/>
      <c r="AJ37" s="394"/>
      <c r="AK37" s="394"/>
      <c r="AL37" s="394"/>
      <c r="AM37" s="394"/>
      <c r="AN37" s="394"/>
      <c r="AO37" s="394"/>
      <c r="AP37" s="394"/>
      <c r="AQ37" s="394"/>
      <c r="AR37" s="394"/>
      <c r="AS37" s="394"/>
      <c r="BH37" s="394"/>
      <c r="BI37" s="394"/>
      <c r="BJ37" s="394"/>
      <c r="BK37" s="394"/>
      <c r="BL37" s="394"/>
      <c r="BM37" s="394"/>
      <c r="BN37" s="394"/>
      <c r="BO37" s="394"/>
      <c r="BP37" s="394"/>
      <c r="BQ37" s="394"/>
      <c r="BR37" s="394"/>
      <c r="BS37" s="394"/>
    </row>
    <row r="38" spans="1:90" s="54" customFormat="1" ht="6.75" customHeight="1" thickTop="1">
      <c r="A38" s="187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204"/>
      <c r="Y38" s="190"/>
      <c r="Z38" s="190"/>
      <c r="AA38" s="190"/>
      <c r="AB38" s="190"/>
      <c r="AC38" s="190"/>
      <c r="AD38" s="190"/>
      <c r="AE38" s="190"/>
      <c r="AF38" s="190"/>
      <c r="CK38" s="54" t="s">
        <v>559</v>
      </c>
      <c r="CL38" s="54" t="s">
        <v>560</v>
      </c>
    </row>
    <row r="39" spans="1:90" s="54" customFormat="1" ht="10.15" customHeight="1">
      <c r="A39" s="205" t="s">
        <v>472</v>
      </c>
      <c r="B39" s="192">
        <f>AF39</f>
        <v>938989.00000000012</v>
      </c>
      <c r="C39" s="192"/>
      <c r="D39" s="192"/>
      <c r="E39" s="192"/>
      <c r="F39" s="192"/>
      <c r="G39" s="192"/>
      <c r="H39" s="192"/>
      <c r="I39" s="192"/>
      <c r="J39" s="192"/>
      <c r="K39" s="248">
        <f>K$24*ParâmeetrosTRU!K39</f>
        <v>46529.000000000007</v>
      </c>
      <c r="L39" s="248">
        <f>L$24*ParâmeetrosTRU!L39</f>
        <v>2.0000000000000004</v>
      </c>
      <c r="M39" s="248">
        <f>M$24*ParâmeetrosTRU!M39</f>
        <v>385354.00000000023</v>
      </c>
      <c r="N39" s="248">
        <f>N$24*ParâmeetrosTRU!N39</f>
        <v>69</v>
      </c>
      <c r="O39" s="248">
        <f>O$24*ParâmeetrosTRU!O39</f>
        <v>1087.9999999999998</v>
      </c>
      <c r="P39" s="248">
        <f>P$24*ParâmeetrosTRU!P39</f>
        <v>16888.000000000025</v>
      </c>
      <c r="Q39" s="248">
        <f>Q$24*ParâmeetrosTRU!Q39</f>
        <v>0</v>
      </c>
      <c r="R39" s="248">
        <f>R$24*ParâmeetrosTRU!R39</f>
        <v>0</v>
      </c>
      <c r="S39" s="248">
        <f>S$24*ParâmeetrosTRU!S39</f>
        <v>0</v>
      </c>
      <c r="T39" s="248">
        <f>T$24*ParâmeetrosTRU!T39</f>
        <v>0</v>
      </c>
      <c r="U39" s="248">
        <f>U$24*ParâmeetrosTRU!U39</f>
        <v>11153.000000000007</v>
      </c>
      <c r="V39" s="248">
        <f>V$24*ParâmeetrosTRU!V39</f>
        <v>3683</v>
      </c>
      <c r="W39" s="192">
        <f t="shared" ref="W39:W51" si="2">SUM(K39:V39)</f>
        <v>464766.00000000023</v>
      </c>
      <c r="X39" s="191"/>
      <c r="Y39" s="232"/>
      <c r="Z39" s="232"/>
      <c r="AA39" s="232"/>
      <c r="AB39" s="232"/>
      <c r="AC39" s="232"/>
      <c r="AD39" s="248"/>
      <c r="AE39" s="248">
        <f>SimulCEI2!Z8</f>
        <v>474223.00000000012</v>
      </c>
      <c r="AF39" s="248">
        <f>CH39</f>
        <v>938989.00000000012</v>
      </c>
      <c r="AH39" s="232">
        <f>ParâmeetrosTRU!AH39</f>
        <v>4.9552231176297062E-2</v>
      </c>
      <c r="AI39" s="232">
        <f>ParâmeetrosTRU!AI39</f>
        <v>4.2137109942040408E-6</v>
      </c>
      <c r="AJ39" s="232">
        <f>ParâmeetrosTRU!AJ39</f>
        <v>5.9572443265701623E-2</v>
      </c>
      <c r="AK39" s="232">
        <f>ParâmeetrosTRU!AK39</f>
        <v>1.2945688147753453E-4</v>
      </c>
      <c r="AL39" s="232">
        <f>ParâmeetrosTRU!AL39</f>
        <v>1.5923566878980893E-3</v>
      </c>
      <c r="AM39" s="232">
        <f>ParâmeetrosTRU!AM39</f>
        <v>0.11999687360111413</v>
      </c>
      <c r="AN39" s="232">
        <f>ParâmeetrosTRU!AN39</f>
        <v>0</v>
      </c>
      <c r="AO39" s="232">
        <f>ParâmeetrosTRU!AO39</f>
        <v>0</v>
      </c>
      <c r="AP39" s="232">
        <f>ParâmeetrosTRU!AP39</f>
        <v>0</v>
      </c>
      <c r="AQ39" s="232">
        <f>ParâmeetrosTRU!AQ39</f>
        <v>0</v>
      </c>
      <c r="AR39" s="232">
        <f>ParâmeetrosTRU!AR39</f>
        <v>5.2475865242467383E-3</v>
      </c>
      <c r="AS39" s="232">
        <f>ParâmeetrosTRU!AS39</f>
        <v>2.5135110603358673E-3</v>
      </c>
      <c r="AU39" s="54">
        <v>1</v>
      </c>
      <c r="BH39" s="256">
        <f>AU39-ParâmeetrosTRU!AH39</f>
        <v>0.95044776882370297</v>
      </c>
      <c r="BI39" s="256">
        <f>AV39-ParâmeetrosTRU!AI39</f>
        <v>-4.2137109942040408E-6</v>
      </c>
      <c r="BJ39" s="256">
        <f>AW39-ParâmeetrosTRU!AJ39</f>
        <v>-5.9572443265701623E-2</v>
      </c>
      <c r="BK39" s="256">
        <f>AX39-ParâmeetrosTRU!AK39</f>
        <v>-1.2945688147753453E-4</v>
      </c>
      <c r="BL39" s="256">
        <f>AY39-ParâmeetrosTRU!AL39</f>
        <v>-1.5923566878980893E-3</v>
      </c>
      <c r="BM39" s="256">
        <f>AZ39-ParâmeetrosTRU!AM39</f>
        <v>-0.11999687360111413</v>
      </c>
      <c r="BN39" s="256">
        <f>BA39-ParâmeetrosTRU!AN39</f>
        <v>0</v>
      </c>
      <c r="BO39" s="256">
        <f>BB39-ParâmeetrosTRU!AO39</f>
        <v>0</v>
      </c>
      <c r="BP39" s="256">
        <f>BC39-ParâmeetrosTRU!AP39</f>
        <v>0</v>
      </c>
      <c r="BQ39" s="256">
        <f>BD39-ParâmeetrosTRU!AQ39</f>
        <v>0</v>
      </c>
      <c r="BR39" s="256">
        <f>BE39-ParâmeetrosTRU!AR39</f>
        <v>-5.2475865242467383E-3</v>
      </c>
      <c r="BS39" s="256">
        <f>BF39-ParâmeetrosTRU!AS39</f>
        <v>-2.5135110603358673E-3</v>
      </c>
      <c r="BU39" s="54">
        <f t="array" ref="BU39:CF50">MINVERSE(BH39:BS50)</f>
        <v>1.0821159760669954</v>
      </c>
      <c r="BV39" s="54">
        <v>3.3396305883308358E-2</v>
      </c>
      <c r="BW39" s="54">
        <v>9.6716812614600384E-2</v>
      </c>
      <c r="BX39" s="54">
        <v>1.476192366952781E-2</v>
      </c>
      <c r="BY39" s="54">
        <v>4.0046325014120476E-2</v>
      </c>
      <c r="BZ39" s="54">
        <v>0.31526680711629618</v>
      </c>
      <c r="CA39" s="54">
        <v>4.2747374199762954E-2</v>
      </c>
      <c r="CB39" s="54">
        <v>1.2061798823595432E-2</v>
      </c>
      <c r="CC39" s="54">
        <v>4.8751802743888283E-3</v>
      </c>
      <c r="CD39" s="54">
        <v>1.9664099795387033E-3</v>
      </c>
      <c r="CE39" s="54">
        <v>2.1851644024245141E-2</v>
      </c>
      <c r="CF39" s="54">
        <v>1.289851461078039E-2</v>
      </c>
      <c r="CH39" s="248">
        <f t="array" ref="CH39:CH50">MMULT(BU39:CF50,AE39:AE50)</f>
        <v>938989.00000000012</v>
      </c>
      <c r="CI39" s="248">
        <f>Original!AF39</f>
        <v>938989</v>
      </c>
      <c r="CK39" s="248">
        <f t="array" ref="CK39:CK50">MMULT(AH39:AS50,CH39:CH50)</f>
        <v>464766.00000000023</v>
      </c>
      <c r="CL39" s="248">
        <f t="array" ref="CL39:CL50">MMULT('Matriz consumo'!C25:N36,CH39:CH50)</f>
        <v>212694.00000000003</v>
      </c>
    </row>
    <row r="40" spans="1:90" s="54" customFormat="1" ht="10.15" customHeight="1">
      <c r="A40" s="205" t="s">
        <v>473</v>
      </c>
      <c r="B40" s="192">
        <f t="shared" ref="B40:B50" si="3">AF40</f>
        <v>474641.00000000006</v>
      </c>
      <c r="C40" s="192"/>
      <c r="D40" s="192"/>
      <c r="E40" s="192"/>
      <c r="F40" s="192"/>
      <c r="G40" s="192"/>
      <c r="H40" s="192"/>
      <c r="I40" s="192"/>
      <c r="J40" s="192"/>
      <c r="K40" s="248">
        <f>K$24*ParâmeetrosTRU!K40</f>
        <v>874.00000000000011</v>
      </c>
      <c r="L40" s="248">
        <f>L$24*ParâmeetrosTRU!L40</f>
        <v>16121.000000000002</v>
      </c>
      <c r="M40" s="248">
        <f>M$24*ParâmeetrosTRU!M40</f>
        <v>198222.00000000009</v>
      </c>
      <c r="N40" s="248">
        <f>N$24*ParâmeetrosTRU!N40</f>
        <v>12854.000000000002</v>
      </c>
      <c r="O40" s="248">
        <f>O$24*ParâmeetrosTRU!O40</f>
        <v>9588.9999999999982</v>
      </c>
      <c r="P40" s="248">
        <f>P$24*ParâmeetrosTRU!P40</f>
        <v>121.00000000000018</v>
      </c>
      <c r="Q40" s="248">
        <f>Q$24*ParâmeetrosTRU!Q40</f>
        <v>6.0000000000000027</v>
      </c>
      <c r="R40" s="248">
        <f>R$24*ParâmeetrosTRU!R40</f>
        <v>0</v>
      </c>
      <c r="S40" s="248">
        <f>S$24*ParâmeetrosTRU!S40</f>
        <v>0</v>
      </c>
      <c r="T40" s="248">
        <f>T$24*ParâmeetrosTRU!T40</f>
        <v>551.00000000000034</v>
      </c>
      <c r="U40" s="248">
        <f>U$24*ParâmeetrosTRU!U40</f>
        <v>86.000000000000057</v>
      </c>
      <c r="V40" s="248">
        <f>V$24*ParâmeetrosTRU!V40</f>
        <v>149</v>
      </c>
      <c r="W40" s="192">
        <f t="shared" si="2"/>
        <v>238573.00000000009</v>
      </c>
      <c r="X40" s="191"/>
      <c r="Y40" s="232"/>
      <c r="Z40" s="232"/>
      <c r="AA40" s="232"/>
      <c r="AB40" s="232"/>
      <c r="AC40" s="232"/>
      <c r="AD40" s="248"/>
      <c r="AE40" s="248">
        <f>SimulCEI2!Z9</f>
        <v>236068</v>
      </c>
      <c r="AF40" s="248">
        <f t="shared" ref="AF40:AF51" si="4">CH40</f>
        <v>474641.00000000006</v>
      </c>
      <c r="AH40" s="232">
        <f>ParâmeetrosTRU!AH40</f>
        <v>9.3078832659381524E-4</v>
      </c>
      <c r="AI40" s="232">
        <f>ParâmeetrosTRU!AI40</f>
        <v>3.3964617468781669E-2</v>
      </c>
      <c r="AJ40" s="232">
        <f>ParâmeetrosTRU!AJ40</f>
        <v>3.0643431361848866E-2</v>
      </c>
      <c r="AK40" s="232">
        <f>ParâmeetrosTRU!AK40</f>
        <v>2.4116503688583028E-2</v>
      </c>
      <c r="AL40" s="232">
        <f>ParâmeetrosTRU!AL40</f>
        <v>1.4034106875234171E-2</v>
      </c>
      <c r="AM40" s="232">
        <f>ParâmeetrosTRU!AM40</f>
        <v>8.5975969361290917E-4</v>
      </c>
      <c r="AN40" s="232">
        <f>ParâmeetrosTRU!AN40</f>
        <v>1.0558026915929951E-5</v>
      </c>
      <c r="AO40" s="232">
        <f>ParâmeetrosTRU!AO40</f>
        <v>0</v>
      </c>
      <c r="AP40" s="232">
        <f>ParâmeetrosTRU!AP40</f>
        <v>0</v>
      </c>
      <c r="AQ40" s="232">
        <f>ParâmeetrosTRU!AQ40</f>
        <v>6.9479909461751376E-4</v>
      </c>
      <c r="AR40" s="232">
        <f>ParâmeetrosTRU!AR40</f>
        <v>4.0463771279944366E-5</v>
      </c>
      <c r="AS40" s="232">
        <f>ParâmeetrosTRU!AS40</f>
        <v>1.0168698017649858E-4</v>
      </c>
      <c r="AV40" s="54">
        <v>1</v>
      </c>
      <c r="BH40" s="256">
        <f>AU40-ParâmeetrosTRU!AH40</f>
        <v>-9.3078832659381524E-4</v>
      </c>
      <c r="BI40" s="256">
        <f>AV40-ParâmeetrosTRU!AI40</f>
        <v>0.96603538253121835</v>
      </c>
      <c r="BJ40" s="256">
        <f>AW40-ParâmeetrosTRU!AJ40</f>
        <v>-3.0643431361848866E-2</v>
      </c>
      <c r="BK40" s="256">
        <f>AX40-ParâmeetrosTRU!AK40</f>
        <v>-2.4116503688583028E-2</v>
      </c>
      <c r="BL40" s="256">
        <f>AY40-ParâmeetrosTRU!AL40</f>
        <v>-1.4034106875234171E-2</v>
      </c>
      <c r="BM40" s="256">
        <f>AZ40-ParâmeetrosTRU!AM40</f>
        <v>-8.5975969361290917E-4</v>
      </c>
      <c r="BN40" s="256">
        <f>BA40-ParâmeetrosTRU!AN40</f>
        <v>-1.0558026915929951E-5</v>
      </c>
      <c r="BO40" s="256">
        <f>BB40-ParâmeetrosTRU!AO40</f>
        <v>0</v>
      </c>
      <c r="BP40" s="256">
        <f>BC40-ParâmeetrosTRU!AP40</f>
        <v>0</v>
      </c>
      <c r="BQ40" s="256">
        <f>BD40-ParâmeetrosTRU!AQ40</f>
        <v>-6.9479909461751376E-4</v>
      </c>
      <c r="BR40" s="256">
        <f>BE40-ParâmeetrosTRU!AR40</f>
        <v>-4.0463771279944366E-5</v>
      </c>
      <c r="BS40" s="256">
        <f>BF40-ParâmeetrosTRU!AS40</f>
        <v>-1.0168698017649858E-4</v>
      </c>
      <c r="BU40" s="54">
        <v>1.6813489508579395E-2</v>
      </c>
      <c r="BV40" s="54">
        <v>1.0518553220744129</v>
      </c>
      <c r="BW40" s="54">
        <v>4.8776452146897777E-2</v>
      </c>
      <c r="BX40" s="54">
        <v>4.1318290658282866E-2</v>
      </c>
      <c r="BY40" s="54">
        <v>3.5237230162718E-2</v>
      </c>
      <c r="BZ40" s="54">
        <v>9.6574515304767419E-2</v>
      </c>
      <c r="CA40" s="54">
        <v>2.065376426960196E-2</v>
      </c>
      <c r="CB40" s="54">
        <v>5.6841070267064772E-3</v>
      </c>
      <c r="CC40" s="54">
        <v>2.3801463011839789E-3</v>
      </c>
      <c r="CD40" s="54">
        <v>1.7971687426503204E-3</v>
      </c>
      <c r="CE40" s="54">
        <v>8.6743557075578508E-3</v>
      </c>
      <c r="CF40" s="54">
        <v>5.7762506992606669E-3</v>
      </c>
      <c r="CH40" s="248">
        <v>474641.00000000006</v>
      </c>
      <c r="CI40" s="248">
        <f>Original!AF40</f>
        <v>474641</v>
      </c>
      <c r="CK40" s="248">
        <v>238573.00000000009</v>
      </c>
      <c r="CL40" s="248">
        <v>0</v>
      </c>
    </row>
    <row r="41" spans="1:90" s="54" customFormat="1" ht="10.15" customHeight="1">
      <c r="A41" s="205" t="s">
        <v>474</v>
      </c>
      <c r="B41" s="192">
        <f t="shared" si="3"/>
        <v>6468662.0000000028</v>
      </c>
      <c r="C41" s="192"/>
      <c r="D41" s="192"/>
      <c r="E41" s="192"/>
      <c r="F41" s="192"/>
      <c r="G41" s="192"/>
      <c r="H41" s="192"/>
      <c r="I41" s="192"/>
      <c r="J41" s="192"/>
      <c r="K41" s="248">
        <f>K$24*ParâmeetrosTRU!K41</f>
        <v>264935.00000000006</v>
      </c>
      <c r="L41" s="248">
        <f>L$24*ParâmeetrosTRU!L41</f>
        <v>117877.00000000001</v>
      </c>
      <c r="M41" s="248">
        <f>M$24*ParâmeetrosTRU!M41</f>
        <v>1817709.0000000009</v>
      </c>
      <c r="N41" s="248">
        <f>N$24*ParâmeetrosTRU!N41</f>
        <v>39415</v>
      </c>
      <c r="O41" s="248">
        <f>O$24*ParâmeetrosTRU!O41</f>
        <v>232482.99999999997</v>
      </c>
      <c r="P41" s="248">
        <f>P$24*ParâmeetrosTRU!P41</f>
        <v>143692.00000000023</v>
      </c>
      <c r="Q41" s="248">
        <f>Q$24*ParâmeetrosTRU!Q41</f>
        <v>168628.00000000012</v>
      </c>
      <c r="R41" s="248">
        <f>R$24*ParâmeetrosTRU!R41</f>
        <v>24714.000000000015</v>
      </c>
      <c r="S41" s="248">
        <f>S$24*ParâmeetrosTRU!S41</f>
        <v>9572.0000000000055</v>
      </c>
      <c r="T41" s="248">
        <f>T$24*ParâmeetrosTRU!T41</f>
        <v>11292.000000000007</v>
      </c>
      <c r="U41" s="248">
        <f>U$24*ParâmeetrosTRU!U41</f>
        <v>261506.00000000017</v>
      </c>
      <c r="V41" s="248">
        <f>V$24*ParâmeetrosTRU!V41</f>
        <v>85762</v>
      </c>
      <c r="W41" s="192">
        <f t="shared" si="2"/>
        <v>3177585.0000000009</v>
      </c>
      <c r="X41" s="191"/>
      <c r="Y41" s="232"/>
      <c r="Z41" s="232"/>
      <c r="AA41" s="232"/>
      <c r="AB41" s="232"/>
      <c r="AC41" s="232"/>
      <c r="AD41" s="248"/>
      <c r="AE41" s="248">
        <f>SimulCEI2!Z10</f>
        <v>3291077.0000000014</v>
      </c>
      <c r="AF41" s="248">
        <f t="shared" si="4"/>
        <v>6468662.0000000028</v>
      </c>
      <c r="AH41" s="232">
        <f>ParâmeetrosTRU!AH41</f>
        <v>0.28214920515575792</v>
      </c>
      <c r="AI41" s="232">
        <f>ParâmeetrosTRU!AI41</f>
        <v>0.24834980543189483</v>
      </c>
      <c r="AJ41" s="232">
        <f>ParâmeetrosTRU!AJ41</f>
        <v>0.28100231547111287</v>
      </c>
      <c r="AK41" s="232">
        <f>ParâmeetrosTRU!AK41</f>
        <v>7.3949898310681508E-2</v>
      </c>
      <c r="AL41" s="232">
        <f>ParâmeetrosTRU!AL41</f>
        <v>0.34025354767703259</v>
      </c>
      <c r="AM41" s="232">
        <f>ParâmeetrosTRU!AM41</f>
        <v>1.0209966106993897</v>
      </c>
      <c r="AN41" s="232">
        <f>ParâmeetrosTRU!AN41</f>
        <v>0.29672982712990598</v>
      </c>
      <c r="AO41" s="232">
        <f>ParâmeetrosTRU!AO41</f>
        <v>4.6147727251508286E-2</v>
      </c>
      <c r="AP41" s="232">
        <f>ParâmeetrosTRU!AP41</f>
        <v>1.1963863432973867E-2</v>
      </c>
      <c r="AQ41" s="232">
        <f>ParâmeetrosTRU!AQ41</f>
        <v>1.4238968015283059E-2</v>
      </c>
      <c r="AR41" s="232">
        <f>ParâmeetrosTRU!AR41</f>
        <v>0.12304091828294339</v>
      </c>
      <c r="AS41" s="232">
        <f>ParâmeetrosTRU!AS41</f>
        <v>5.8529387878502488E-2</v>
      </c>
      <c r="AW41" s="54">
        <v>1</v>
      </c>
      <c r="BH41" s="256">
        <f>AU41-ParâmeetrosTRU!AH41</f>
        <v>-0.28214920515575792</v>
      </c>
      <c r="BI41" s="256">
        <f>AV41-ParâmeetrosTRU!AI41</f>
        <v>-0.24834980543189483</v>
      </c>
      <c r="BJ41" s="256">
        <f>AW41-ParâmeetrosTRU!AJ41</f>
        <v>0.71899768452888713</v>
      </c>
      <c r="BK41" s="256">
        <f>AX41-ParâmeetrosTRU!AK41</f>
        <v>-7.3949898310681508E-2</v>
      </c>
      <c r="BL41" s="256">
        <f>AY41-ParâmeetrosTRU!AL41</f>
        <v>-0.34025354767703259</v>
      </c>
      <c r="BM41" s="256">
        <f>AZ41-ParâmeetrosTRU!AM41</f>
        <v>-1.0209966106993897</v>
      </c>
      <c r="BN41" s="256">
        <f>BA41-ParâmeetrosTRU!AN41</f>
        <v>-0.29672982712990598</v>
      </c>
      <c r="BO41" s="256">
        <f>BB41-ParâmeetrosTRU!AO41</f>
        <v>-4.6147727251508286E-2</v>
      </c>
      <c r="BP41" s="256">
        <f>BC41-ParâmeetrosTRU!AP41</f>
        <v>-1.1963863432973867E-2</v>
      </c>
      <c r="BQ41" s="256">
        <f>BD41-ParâmeetrosTRU!AQ41</f>
        <v>-1.4238968015283059E-2</v>
      </c>
      <c r="BR41" s="256">
        <f>BE41-ParâmeetrosTRU!AR41</f>
        <v>-0.12304091828294339</v>
      </c>
      <c r="BS41" s="256">
        <f>BF41-ParâmeetrosTRU!AS41</f>
        <v>-5.8529387878502488E-2</v>
      </c>
      <c r="BU41" s="54">
        <v>0.4650320594331645</v>
      </c>
      <c r="BV41" s="54">
        <v>0.49097418502369772</v>
      </c>
      <c r="BW41" s="54">
        <v>1.5092831105641695</v>
      </c>
      <c r="BX41" s="54">
        <v>0.210931585585998</v>
      </c>
      <c r="BY41" s="54">
        <v>0.5898328701128871</v>
      </c>
      <c r="BZ41" s="54">
        <v>2.57305207548128</v>
      </c>
      <c r="CA41" s="54">
        <v>0.61301750733482885</v>
      </c>
      <c r="CB41" s="54">
        <v>0.15141251616302925</v>
      </c>
      <c r="CC41" s="54">
        <v>6.2035395064448412E-2</v>
      </c>
      <c r="CD41" s="54">
        <v>2.8908202735522047E-2</v>
      </c>
      <c r="CE41" s="54">
        <v>0.23722840891784425</v>
      </c>
      <c r="CF41" s="54">
        <v>0.14216948001850846</v>
      </c>
      <c r="CH41" s="248">
        <v>6468662.0000000028</v>
      </c>
      <c r="CI41" s="248">
        <f>Original!AF41</f>
        <v>6468662</v>
      </c>
      <c r="CK41" s="248">
        <v>3177585.0000000014</v>
      </c>
      <c r="CL41" s="248">
        <v>2148705.0000000009</v>
      </c>
    </row>
    <row r="42" spans="1:90" s="54" customFormat="1" ht="10.15" customHeight="1">
      <c r="A42" s="205" t="s">
        <v>509</v>
      </c>
      <c r="B42" s="192">
        <f>AF42</f>
        <v>532996.00000000012</v>
      </c>
      <c r="C42" s="192"/>
      <c r="D42" s="192"/>
      <c r="E42" s="192"/>
      <c r="F42" s="192"/>
      <c r="G42" s="192"/>
      <c r="H42" s="192"/>
      <c r="I42" s="192"/>
      <c r="J42" s="192"/>
      <c r="K42" s="248">
        <f>K$24*ParâmeetrosTRU!K42</f>
        <v>19060.000000000004</v>
      </c>
      <c r="L42" s="248">
        <f>L$24*ParâmeetrosTRU!L42</f>
        <v>4165</v>
      </c>
      <c r="M42" s="248">
        <f>M$24*ParâmeetrosTRU!M42</f>
        <v>57562.000000000029</v>
      </c>
      <c r="N42" s="248">
        <f>N$24*ParâmeetrosTRU!N42</f>
        <v>142663.00000000003</v>
      </c>
      <c r="O42" s="248">
        <f>O$24*ParâmeetrosTRU!O42</f>
        <v>1099.9999999999998</v>
      </c>
      <c r="P42" s="248">
        <f>P$24*ParâmeetrosTRU!P42</f>
        <v>35518.000000000058</v>
      </c>
      <c r="Q42" s="248">
        <f>Q$24*ParâmeetrosTRU!Q42</f>
        <v>5222.0000000000027</v>
      </c>
      <c r="R42" s="248">
        <f>R$24*ParâmeetrosTRU!R42</f>
        <v>4434.0000000000027</v>
      </c>
      <c r="S42" s="248">
        <f>S$24*ParâmeetrosTRU!S42</f>
        <v>3647.0000000000023</v>
      </c>
      <c r="T42" s="248">
        <f>T$24*ParâmeetrosTRU!T42</f>
        <v>1676.0000000000011</v>
      </c>
      <c r="U42" s="248">
        <f>U$24*ParâmeetrosTRU!U42</f>
        <v>44360.000000000029</v>
      </c>
      <c r="V42" s="248">
        <f>V$24*ParâmeetrosTRU!V42</f>
        <v>27071</v>
      </c>
      <c r="W42" s="192">
        <f t="shared" si="2"/>
        <v>346478.00000000012</v>
      </c>
      <c r="X42" s="191"/>
      <c r="Y42" s="232"/>
      <c r="Z42" s="232"/>
      <c r="AA42" s="232"/>
      <c r="AB42" s="232"/>
      <c r="AC42" s="232"/>
      <c r="AD42" s="248"/>
      <c r="AE42" s="248">
        <f>SimulCEI2!Z11</f>
        <v>186518.00000000012</v>
      </c>
      <c r="AF42" s="248">
        <f t="shared" si="4"/>
        <v>532996.00000000012</v>
      </c>
      <c r="AH42" s="232">
        <f>ParâmeetrosTRU!AH42</f>
        <v>2.0298427351119128E-2</v>
      </c>
      <c r="AI42" s="232">
        <f>ParâmeetrosTRU!AI42</f>
        <v>8.7750531454299143E-3</v>
      </c>
      <c r="AJ42" s="232">
        <f>ParâmeetrosTRU!AJ42</f>
        <v>8.898594485227394E-3</v>
      </c>
      <c r="AK42" s="232">
        <f>ParâmeetrosTRU!AK42</f>
        <v>0.26766242148158709</v>
      </c>
      <c r="AL42" s="232">
        <f>ParâmeetrosTRU!AL42</f>
        <v>1.6099194454852004E-3</v>
      </c>
      <c r="AM42" s="232">
        <f>ParâmeetrosTRU!AM42</f>
        <v>0.25237144460944883</v>
      </c>
      <c r="AN42" s="232">
        <f>ParâmeetrosTRU!AN42</f>
        <v>9.1890027591643667E-3</v>
      </c>
      <c r="AO42" s="232">
        <f>ParâmeetrosTRU!AO42</f>
        <v>8.27947813519413E-3</v>
      </c>
      <c r="AP42" s="232">
        <f>ParâmeetrosTRU!AP42</f>
        <v>4.5583169598888106E-3</v>
      </c>
      <c r="AQ42" s="232">
        <f>ParâmeetrosTRU!AQ42</f>
        <v>2.1133997868946516E-3</v>
      </c>
      <c r="AR42" s="232">
        <f>ParâmeetrosTRU!AR42</f>
        <v>2.0871777836957352E-2</v>
      </c>
      <c r="AS42" s="232">
        <f>ParâmeetrosTRU!AS42</f>
        <v>1.8474954633275118E-2</v>
      </c>
      <c r="AX42" s="54">
        <v>1</v>
      </c>
      <c r="BH42" s="256">
        <f>AU42-ParâmeetrosTRU!AH42</f>
        <v>-2.0298427351119128E-2</v>
      </c>
      <c r="BI42" s="256">
        <f>AV42-ParâmeetrosTRU!AI42</f>
        <v>-8.7750531454299143E-3</v>
      </c>
      <c r="BJ42" s="256">
        <f>AW42-ParâmeetrosTRU!AJ42</f>
        <v>-8.898594485227394E-3</v>
      </c>
      <c r="BK42" s="256">
        <f>AX42-ParâmeetrosTRU!AK42</f>
        <v>0.73233757851841297</v>
      </c>
      <c r="BL42" s="256">
        <f>AY42-ParâmeetrosTRU!AL42</f>
        <v>-1.6099194454852004E-3</v>
      </c>
      <c r="BM42" s="256">
        <f>AZ42-ParâmeetrosTRU!AM42</f>
        <v>-0.25237144460944883</v>
      </c>
      <c r="BN42" s="256">
        <f>BA42-ParâmeetrosTRU!AN42</f>
        <v>-9.1890027591643667E-3</v>
      </c>
      <c r="BO42" s="256">
        <f>BB42-ParâmeetrosTRU!AO42</f>
        <v>-8.27947813519413E-3</v>
      </c>
      <c r="BP42" s="256">
        <f>BC42-ParâmeetrosTRU!AP42</f>
        <v>-4.5583169598888106E-3</v>
      </c>
      <c r="BQ42" s="256">
        <f>BD42-ParâmeetrosTRU!AQ42</f>
        <v>-2.1133997868946516E-3</v>
      </c>
      <c r="BR42" s="256">
        <f>BE42-ParâmeetrosTRU!AR42</f>
        <v>-2.0871777836957352E-2</v>
      </c>
      <c r="BS42" s="256">
        <f>BF42-ParâmeetrosTRU!AS42</f>
        <v>-1.8474954633275118E-2</v>
      </c>
      <c r="BU42" s="54">
        <v>3.9339260968968032E-2</v>
      </c>
      <c r="BV42" s="54">
        <v>3.1159483415949801E-2</v>
      </c>
      <c r="BW42" s="54">
        <v>2.967324871456568E-2</v>
      </c>
      <c r="BX42" s="54">
        <v>1.3747905387978869</v>
      </c>
      <c r="BY42" s="54">
        <v>1.6271327218783001E-2</v>
      </c>
      <c r="BZ42" s="54">
        <v>0.50587292451135035</v>
      </c>
      <c r="CA42" s="54">
        <v>3.9615183893201844E-2</v>
      </c>
      <c r="CB42" s="54">
        <v>2.5603891517175556E-2</v>
      </c>
      <c r="CC42" s="54">
        <v>1.3672885051726308E-2</v>
      </c>
      <c r="CD42" s="54">
        <v>4.3310382027030268E-3</v>
      </c>
      <c r="CE42" s="54">
        <v>3.9270105485083653E-2</v>
      </c>
      <c r="CF42" s="54">
        <v>3.3794225669771687E-2</v>
      </c>
      <c r="CH42" s="248">
        <v>532996.00000000012</v>
      </c>
      <c r="CI42" s="248">
        <f>Original!AF42</f>
        <v>532996</v>
      </c>
      <c r="CK42" s="248">
        <v>346478.00000000012</v>
      </c>
      <c r="CL42" s="248">
        <v>186576.00000000003</v>
      </c>
    </row>
    <row r="43" spans="1:90" s="54" customFormat="1" ht="10.15" customHeight="1">
      <c r="A43" s="205" t="s">
        <v>475</v>
      </c>
      <c r="B43" s="192">
        <f t="shared" si="3"/>
        <v>683263.99999999988</v>
      </c>
      <c r="C43" s="192"/>
      <c r="D43" s="192"/>
      <c r="E43" s="192"/>
      <c r="F43" s="192"/>
      <c r="G43" s="192"/>
      <c r="H43" s="192"/>
      <c r="I43" s="192"/>
      <c r="J43" s="192"/>
      <c r="K43" s="248">
        <f>K$24*ParâmeetrosTRU!K43</f>
        <v>346.00000000000006</v>
      </c>
      <c r="L43" s="248">
        <f>L$24*ParâmeetrosTRU!L43</f>
        <v>7040</v>
      </c>
      <c r="M43" s="248">
        <f>M$24*ParâmeetrosTRU!M43</f>
        <v>3483.0000000000018</v>
      </c>
      <c r="N43" s="248">
        <f>N$24*ParâmeetrosTRU!N43</f>
        <v>6090.0000000000009</v>
      </c>
      <c r="O43" s="248">
        <f>O$24*ParâmeetrosTRU!O43</f>
        <v>64475.999999999993</v>
      </c>
      <c r="P43" s="248">
        <f>P$24*ParâmeetrosTRU!P43</f>
        <v>1281.0000000000018</v>
      </c>
      <c r="Q43" s="248">
        <f>Q$24*ParâmeetrosTRU!Q43</f>
        <v>2108.0000000000009</v>
      </c>
      <c r="R43" s="248">
        <f>R$24*ParâmeetrosTRU!R43</f>
        <v>5076.0000000000036</v>
      </c>
      <c r="S43" s="248">
        <f>S$24*ParâmeetrosTRU!S43</f>
        <v>1156.0000000000007</v>
      </c>
      <c r="T43" s="248">
        <f>T$24*ParâmeetrosTRU!T43</f>
        <v>2074.0000000000014</v>
      </c>
      <c r="U43" s="248">
        <f>U$24*ParâmeetrosTRU!U43</f>
        <v>5894.0000000000036</v>
      </c>
      <c r="V43" s="248">
        <f>V$24*ParâmeetrosTRU!V43</f>
        <v>24150</v>
      </c>
      <c r="W43" s="192">
        <f t="shared" si="2"/>
        <v>123174</v>
      </c>
      <c r="X43" s="191"/>
      <c r="Y43" s="232"/>
      <c r="Z43" s="232"/>
      <c r="AA43" s="232"/>
      <c r="AB43" s="232"/>
      <c r="AC43" s="232"/>
      <c r="AD43" s="248"/>
      <c r="AE43" s="248">
        <f>SimulCEI2!Z12</f>
        <v>560090</v>
      </c>
      <c r="AF43" s="248">
        <f t="shared" si="4"/>
        <v>683263.99999999988</v>
      </c>
      <c r="AH43" s="232">
        <f>ParâmeetrosTRU!AH43</f>
        <v>3.6848141991013741E-4</v>
      </c>
      <c r="AI43" s="232">
        <f>ParâmeetrosTRU!AI43</f>
        <v>1.4832262699598222E-2</v>
      </c>
      <c r="AJ43" s="232">
        <f>ParâmeetrosTRU!AJ43</f>
        <v>5.384421075022934E-4</v>
      </c>
      <c r="AK43" s="232">
        <f>ParâmeetrosTRU!AK43</f>
        <v>1.1425976930408484E-2</v>
      </c>
      <c r="AL43" s="232">
        <f>ParâmeetrosTRU!AL43</f>
        <v>9.4364696515548893E-2</v>
      </c>
      <c r="AM43" s="232">
        <f>ParâmeetrosTRU!AM43</f>
        <v>9.1020840290755092E-3</v>
      </c>
      <c r="AN43" s="232">
        <f>ParâmeetrosTRU!AN43</f>
        <v>3.7093867897967227E-3</v>
      </c>
      <c r="AO43" s="232">
        <f>ParâmeetrosTRU!AO43</f>
        <v>9.4782659030774492E-3</v>
      </c>
      <c r="AP43" s="232">
        <f>ParâmeetrosTRU!AP43</f>
        <v>1.4448627380398862E-3</v>
      </c>
      <c r="AQ43" s="232">
        <f>ParâmeetrosTRU!AQ43</f>
        <v>2.6152691873624744E-3</v>
      </c>
      <c r="AR43" s="232">
        <f>ParâmeetrosTRU!AR43</f>
        <v>2.7731798595813035E-3</v>
      </c>
      <c r="AS43" s="232">
        <f>ParâmeetrosTRU!AS43</f>
        <v>1.6481480344043224E-2</v>
      </c>
      <c r="AY43" s="54">
        <v>1</v>
      </c>
      <c r="BH43" s="256">
        <f>AU43-ParâmeetrosTRU!AH43</f>
        <v>-3.6848141991013741E-4</v>
      </c>
      <c r="BI43" s="256">
        <f>AV43-ParâmeetrosTRU!AI43</f>
        <v>-1.4832262699598222E-2</v>
      </c>
      <c r="BJ43" s="256">
        <f>AW43-ParâmeetrosTRU!AJ43</f>
        <v>-5.384421075022934E-4</v>
      </c>
      <c r="BK43" s="256">
        <f>AX43-ParâmeetrosTRU!AK43</f>
        <v>-1.1425976930408484E-2</v>
      </c>
      <c r="BL43" s="256">
        <f>AY43-ParâmeetrosTRU!AL43</f>
        <v>0.90563530348445109</v>
      </c>
      <c r="BM43" s="256">
        <f>AZ43-ParâmeetrosTRU!AM43</f>
        <v>-9.1020840290755092E-3</v>
      </c>
      <c r="BN43" s="256">
        <f>BA43-ParâmeetrosTRU!AN43</f>
        <v>-3.7093867897967227E-3</v>
      </c>
      <c r="BO43" s="256">
        <f>BB43-ParâmeetrosTRU!AO43</f>
        <v>-9.4782659030774492E-3</v>
      </c>
      <c r="BP43" s="256">
        <f>BC43-ParâmeetrosTRU!AP43</f>
        <v>-1.4448627380398862E-3</v>
      </c>
      <c r="BQ43" s="256">
        <f>BD43-ParâmeetrosTRU!AQ43</f>
        <v>-2.6152691873624744E-3</v>
      </c>
      <c r="BR43" s="256">
        <f>BE43-ParâmeetrosTRU!AR43</f>
        <v>-2.7731798595813035E-3</v>
      </c>
      <c r="BS43" s="256">
        <f>BF43-ParâmeetrosTRU!AS43</f>
        <v>-1.6481480344043224E-2</v>
      </c>
      <c r="BU43" s="54">
        <v>1.9314068115913164E-3</v>
      </c>
      <c r="BV43" s="54">
        <v>1.9443065404721221E-2</v>
      </c>
      <c r="BW43" s="54">
        <v>2.9822080916295556E-3</v>
      </c>
      <c r="BX43" s="54">
        <v>1.8927871667639672E-2</v>
      </c>
      <c r="BY43" s="54">
        <v>1.1059814034574591</v>
      </c>
      <c r="BZ43" s="54">
        <v>3.6465150972463216E-2</v>
      </c>
      <c r="CA43" s="54">
        <v>7.6774385021404924E-3</v>
      </c>
      <c r="CB43" s="54">
        <v>1.3378598527862762E-2</v>
      </c>
      <c r="CC43" s="54">
        <v>3.3157374641115327E-3</v>
      </c>
      <c r="CD43" s="54">
        <v>3.1912368471516805E-3</v>
      </c>
      <c r="CE43" s="54">
        <v>5.1366893544103846E-3</v>
      </c>
      <c r="CF43" s="54">
        <v>1.9857578051154408E-2</v>
      </c>
      <c r="CH43" s="248">
        <v>683263.99999999988</v>
      </c>
      <c r="CI43" s="248">
        <f>Original!AF43</f>
        <v>683264</v>
      </c>
      <c r="CK43" s="248">
        <v>123174</v>
      </c>
      <c r="CL43" s="248">
        <v>0</v>
      </c>
    </row>
    <row r="44" spans="1:90" s="54" customFormat="1" ht="10.15" customHeight="1">
      <c r="A44" s="205" t="s">
        <v>476</v>
      </c>
      <c r="B44" s="192">
        <f t="shared" si="3"/>
        <v>140737.00000000023</v>
      </c>
      <c r="C44" s="192"/>
      <c r="D44" s="192"/>
      <c r="E44" s="192"/>
      <c r="F44" s="192"/>
      <c r="G44" s="192"/>
      <c r="H44" s="192"/>
      <c r="I44" s="192"/>
      <c r="J44" s="192"/>
      <c r="K44" s="248">
        <f>K$24*ParâmeetrosTRU!K44</f>
        <v>353.00000000000006</v>
      </c>
      <c r="L44" s="248">
        <f>L$24*ParâmeetrosTRU!L44</f>
        <v>2486.0000000000005</v>
      </c>
      <c r="M44" s="248">
        <f>M$24*ParâmeetrosTRU!M44</f>
        <v>43753.000000000022</v>
      </c>
      <c r="N44" s="248">
        <f>N$24*ParâmeetrosTRU!N44</f>
        <v>1300.0000000000002</v>
      </c>
      <c r="O44" s="248">
        <f>O$24*ParâmeetrosTRU!O44</f>
        <v>492.99999999999989</v>
      </c>
      <c r="P44" s="248">
        <f>P$24*ParâmeetrosTRU!P44</f>
        <v>12404.000000000018</v>
      </c>
      <c r="Q44" s="248">
        <f>Q$24*ParâmeetrosTRU!Q44</f>
        <v>8467.0000000000036</v>
      </c>
      <c r="R44" s="248">
        <f>R$24*ParâmeetrosTRU!R44</f>
        <v>3711.0000000000027</v>
      </c>
      <c r="S44" s="248">
        <f>S$24*ParâmeetrosTRU!S44</f>
        <v>146.00000000000009</v>
      </c>
      <c r="T44" s="248">
        <f>T$24*ParâmeetrosTRU!T44</f>
        <v>25.000000000000014</v>
      </c>
      <c r="U44" s="248">
        <f>U$24*ParâmeetrosTRU!U44</f>
        <v>3481.0000000000023</v>
      </c>
      <c r="V44" s="248">
        <f>V$24*ParâmeetrosTRU!V44</f>
        <v>3530</v>
      </c>
      <c r="W44" s="192">
        <f t="shared" si="2"/>
        <v>80149.000000000044</v>
      </c>
      <c r="X44" s="191"/>
      <c r="Y44" s="232"/>
      <c r="Z44" s="232"/>
      <c r="AA44" s="232"/>
      <c r="AB44" s="232"/>
      <c r="AC44" s="232"/>
      <c r="AD44" s="248"/>
      <c r="AE44" s="248">
        <f>SimulCEI2!Z13</f>
        <v>60588.000000000036</v>
      </c>
      <c r="AF44" s="248">
        <f t="shared" si="4"/>
        <v>140737.00000000023</v>
      </c>
      <c r="AH44" s="232">
        <f>ParâmeetrosTRU!AH44</f>
        <v>3.7593624632450436E-4</v>
      </c>
      <c r="AI44" s="232">
        <f>ParâmeetrosTRU!AI44</f>
        <v>5.237642765795622E-3</v>
      </c>
      <c r="AJ44" s="232">
        <f>ParâmeetrosTRU!AJ44</f>
        <v>6.763840806645949E-3</v>
      </c>
      <c r="AK44" s="232">
        <f>ParâmeetrosTRU!AK44</f>
        <v>2.4390426945042737E-3</v>
      </c>
      <c r="AL44" s="232">
        <f>ParâmeetrosTRU!AL44</f>
        <v>7.215366242038216E-4</v>
      </c>
      <c r="AM44" s="232">
        <f>ParâmeetrosTRU!AM44</f>
        <v>8.8136026773343187E-2</v>
      </c>
      <c r="AN44" s="232">
        <f>ParâmeetrosTRU!AN44</f>
        <v>1.4899135649529816E-2</v>
      </c>
      <c r="AO44" s="232">
        <f>ParâmeetrosTRU!AO44</f>
        <v>6.929441443325534E-3</v>
      </c>
      <c r="AP44" s="232">
        <f>ParâmeetrosTRU!AP44</f>
        <v>1.8248266414690604E-4</v>
      </c>
      <c r="AQ44" s="232">
        <f>ParâmeetrosTRU!AQ44</f>
        <v>3.1524459828380842E-5</v>
      </c>
      <c r="AR44" s="232">
        <f>ParâmeetrosTRU!AR44</f>
        <v>1.637841718901004E-3</v>
      </c>
      <c r="AS44" s="232">
        <f>ParâmeetrosTRU!AS44</f>
        <v>2.4090942283425498E-3</v>
      </c>
      <c r="AZ44" s="54">
        <v>1</v>
      </c>
      <c r="BH44" s="256">
        <f>AU44-ParâmeetrosTRU!AH44</f>
        <v>-3.7593624632450436E-4</v>
      </c>
      <c r="BI44" s="256">
        <f>AV44-ParâmeetrosTRU!AI44</f>
        <v>-5.237642765795622E-3</v>
      </c>
      <c r="BJ44" s="256">
        <f>AW44-ParâmeetrosTRU!AJ44</f>
        <v>-6.763840806645949E-3</v>
      </c>
      <c r="BK44" s="256">
        <f>AX44-ParâmeetrosTRU!AK44</f>
        <v>-2.4390426945042737E-3</v>
      </c>
      <c r="BL44" s="256">
        <f>AY44-ParâmeetrosTRU!AL44</f>
        <v>-7.215366242038216E-4</v>
      </c>
      <c r="BM44" s="256">
        <f>AZ44-ParâmeetrosTRU!AM44</f>
        <v>0.9118639732266568</v>
      </c>
      <c r="BN44" s="256">
        <f>BA44-ParâmeetrosTRU!AN44</f>
        <v>-1.4899135649529816E-2</v>
      </c>
      <c r="BO44" s="256">
        <f>BB44-ParâmeetrosTRU!AO44</f>
        <v>-6.929441443325534E-3</v>
      </c>
      <c r="BP44" s="256">
        <f>BC44-ParâmeetrosTRU!AP44</f>
        <v>-1.8248266414690604E-4</v>
      </c>
      <c r="BQ44" s="256">
        <f>BD44-ParâmeetrosTRU!AQ44</f>
        <v>-3.1524459828380842E-5</v>
      </c>
      <c r="BR44" s="256">
        <f>BE44-ParâmeetrosTRU!AR44</f>
        <v>-1.637841718901004E-3</v>
      </c>
      <c r="BS44" s="256">
        <f>BF44-ParâmeetrosTRU!AS44</f>
        <v>-2.4090942283425498E-3</v>
      </c>
      <c r="BU44" s="54">
        <v>4.8237096783446823E-3</v>
      </c>
      <c r="BV44" s="54">
        <v>1.2294225671472274E-2</v>
      </c>
      <c r="BW44" s="54">
        <v>1.2831040907053374E-2</v>
      </c>
      <c r="BX44" s="54">
        <v>6.3408808780271286E-3</v>
      </c>
      <c r="BY44" s="54">
        <v>6.2734678520188214E-3</v>
      </c>
      <c r="BZ44" s="54">
        <v>1.1387385493498055</v>
      </c>
      <c r="CA44" s="54">
        <v>2.5526297756248421E-2</v>
      </c>
      <c r="CB44" s="54">
        <v>1.0621126728305907E-2</v>
      </c>
      <c r="CC44" s="54">
        <v>1.7298260858583908E-3</v>
      </c>
      <c r="CD44" s="54">
        <v>3.9214543796933814E-4</v>
      </c>
      <c r="CE44" s="54">
        <v>4.8236306235687684E-3</v>
      </c>
      <c r="CF44" s="54">
        <v>4.7137910595401976E-3</v>
      </c>
      <c r="CH44" s="248">
        <v>140737.00000000023</v>
      </c>
      <c r="CI44" s="248">
        <f>Original!AF44</f>
        <v>140737</v>
      </c>
      <c r="CK44" s="248">
        <v>80149.000000000044</v>
      </c>
      <c r="CL44" s="248">
        <v>55912.000000000087</v>
      </c>
    </row>
    <row r="45" spans="1:90" s="54" customFormat="1" ht="10.15" customHeight="1">
      <c r="A45" s="205" t="s">
        <v>477</v>
      </c>
      <c r="B45" s="192">
        <f t="shared" si="3"/>
        <v>568288.00000000035</v>
      </c>
      <c r="C45" s="192"/>
      <c r="D45" s="192"/>
      <c r="E45" s="192"/>
      <c r="F45" s="192"/>
      <c r="G45" s="192"/>
      <c r="H45" s="192"/>
      <c r="I45" s="192"/>
      <c r="J45" s="192"/>
      <c r="K45" s="248">
        <f>K$24*ParâmeetrosTRU!K45</f>
        <v>12900</v>
      </c>
      <c r="L45" s="248">
        <f>L$24*ParâmeetrosTRU!L45</f>
        <v>36580</v>
      </c>
      <c r="M45" s="248">
        <f>M$24*ParâmeetrosTRU!M45</f>
        <v>150873.00000000009</v>
      </c>
      <c r="N45" s="248">
        <f>N$24*ParâmeetrosTRU!N45</f>
        <v>5229.0000000000009</v>
      </c>
      <c r="O45" s="248">
        <f>O$24*ParâmeetrosTRU!O45</f>
        <v>3049.9999999999995</v>
      </c>
      <c r="P45" s="248">
        <f>P$24*ParâmeetrosTRU!P45</f>
        <v>81866.000000000131</v>
      </c>
      <c r="Q45" s="248">
        <f>Q$24*ParâmeetrosTRU!Q45</f>
        <v>90333.000000000058</v>
      </c>
      <c r="R45" s="248">
        <f>R$24*ParâmeetrosTRU!R45</f>
        <v>2762.0000000000018</v>
      </c>
      <c r="S45" s="248">
        <f>S$24*ParâmeetrosTRU!S45</f>
        <v>5947.0000000000036</v>
      </c>
      <c r="T45" s="248">
        <f>T$24*ParâmeetrosTRU!T45</f>
        <v>329.00000000000023</v>
      </c>
      <c r="U45" s="248">
        <f>U$24*ParâmeetrosTRU!U45</f>
        <v>22063.000000000015</v>
      </c>
      <c r="V45" s="248">
        <f>V$24*ParâmeetrosTRU!V45</f>
        <v>12154</v>
      </c>
      <c r="W45" s="192">
        <f t="shared" si="2"/>
        <v>424086.00000000029</v>
      </c>
      <c r="X45" s="191"/>
      <c r="Y45" s="232"/>
      <c r="Z45" s="232"/>
      <c r="AA45" s="232"/>
      <c r="AB45" s="232"/>
      <c r="AC45" s="232"/>
      <c r="AD45" s="248"/>
      <c r="AE45" s="248">
        <f>SimulCEI2!Z14</f>
        <v>144202.00000000006</v>
      </c>
      <c r="AF45" s="248">
        <f t="shared" si="4"/>
        <v>568288.00000000035</v>
      </c>
      <c r="AH45" s="232">
        <f>ParâmeetrosTRU!AH45</f>
        <v>1.3738180106476221E-2</v>
      </c>
      <c r="AI45" s="232">
        <f>ParâmeetrosTRU!AI45</f>
        <v>7.7068774083991903E-2</v>
      </c>
      <c r="AJ45" s="232">
        <f>ParâmeetrosTRU!AJ45</f>
        <v>2.3323679611023114E-2</v>
      </c>
      <c r="AK45" s="232">
        <f>ParâmeetrosTRU!AK45</f>
        <v>9.8105801919714224E-3</v>
      </c>
      <c r="AL45" s="232">
        <f>ParâmeetrosTRU!AL45</f>
        <v>4.4638675533907827E-3</v>
      </c>
      <c r="AM45" s="232">
        <f>ParâmeetrosTRU!AM45</f>
        <v>0.58169493452325971</v>
      </c>
      <c r="AN45" s="232">
        <f>ParâmeetrosTRU!AN45</f>
        <v>0.15895637423278339</v>
      </c>
      <c r="AO45" s="232">
        <f>ParâmeetrosTRU!AO45</f>
        <v>5.1574015808313464E-3</v>
      </c>
      <c r="AP45" s="232">
        <f>ParâmeetrosTRU!AP45</f>
        <v>7.433043860833221E-3</v>
      </c>
      <c r="AQ45" s="232">
        <f>ParâmeetrosTRU!AQ45</f>
        <v>4.1486189134149186E-4</v>
      </c>
      <c r="AR45" s="232">
        <f>ParâmeetrosTRU!AR45</f>
        <v>1.0380839369179216E-2</v>
      </c>
      <c r="AS45" s="232">
        <f>ParâmeetrosTRU!AS45</f>
        <v>8.2946547454037824E-3</v>
      </c>
      <c r="BA45" s="54">
        <v>1</v>
      </c>
      <c r="BH45" s="256">
        <f>AU45-ParâmeetrosTRU!AH45</f>
        <v>-1.3738180106476221E-2</v>
      </c>
      <c r="BI45" s="256">
        <f>AV45-ParâmeetrosTRU!AI45</f>
        <v>-7.7068774083991903E-2</v>
      </c>
      <c r="BJ45" s="256">
        <f>AW45-ParâmeetrosTRU!AJ45</f>
        <v>-2.3323679611023114E-2</v>
      </c>
      <c r="BK45" s="256">
        <f>AX45-ParâmeetrosTRU!AK45</f>
        <v>-9.8105801919714224E-3</v>
      </c>
      <c r="BL45" s="256">
        <f>AY45-ParâmeetrosTRU!AL45</f>
        <v>-4.4638675533907827E-3</v>
      </c>
      <c r="BM45" s="256">
        <f>AZ45-ParâmeetrosTRU!AM45</f>
        <v>-0.58169493452325971</v>
      </c>
      <c r="BN45" s="256">
        <f>BA45-ParâmeetrosTRU!AN45</f>
        <v>0.84104362576721658</v>
      </c>
      <c r="BO45" s="256">
        <f>BB45-ParâmeetrosTRU!AO45</f>
        <v>-5.1574015808313464E-3</v>
      </c>
      <c r="BP45" s="256">
        <f>BC45-ParâmeetrosTRU!AP45</f>
        <v>-7.433043860833221E-3</v>
      </c>
      <c r="BQ45" s="256">
        <f>BD45-ParâmeetrosTRU!AQ45</f>
        <v>-4.1486189134149186E-4</v>
      </c>
      <c r="BR45" s="256">
        <f>BE45-ParâmeetrosTRU!AR45</f>
        <v>-1.0380839369179216E-2</v>
      </c>
      <c r="BS45" s="256">
        <f>BF45-ParâmeetrosTRU!AS45</f>
        <v>-8.2946547454037824E-3</v>
      </c>
      <c r="BU45" s="54">
        <v>3.668197009512171E-2</v>
      </c>
      <c r="BV45" s="54">
        <v>0.12232865422319091</v>
      </c>
      <c r="BW45" s="54">
        <v>5.8594877595680418E-2</v>
      </c>
      <c r="BX45" s="54">
        <v>3.207563602494326E-2</v>
      </c>
      <c r="BY45" s="54">
        <v>3.1961854323701612E-2</v>
      </c>
      <c r="BZ45" s="54">
        <v>0.90850155575284042</v>
      </c>
      <c r="CA45" s="54">
        <v>1.229979881672667</v>
      </c>
      <c r="CB45" s="54">
        <v>2.2700026573825884E-2</v>
      </c>
      <c r="CC45" s="54">
        <v>1.5814939612414893E-2</v>
      </c>
      <c r="CD45" s="54">
        <v>2.4602838033288901E-3</v>
      </c>
      <c r="CE45" s="54">
        <v>2.6359000401859633E-2</v>
      </c>
      <c r="CF45" s="54">
        <v>2.0640611621522299E-2</v>
      </c>
      <c r="CH45" s="248">
        <v>568288.00000000035</v>
      </c>
      <c r="CI45" s="248">
        <f>Original!AF45</f>
        <v>568288</v>
      </c>
      <c r="CK45" s="248">
        <v>424086.00000000023</v>
      </c>
      <c r="CL45" s="248">
        <v>109783.00000000007</v>
      </c>
    </row>
    <row r="46" spans="1:90" s="54" customFormat="1" ht="10.15" customHeight="1">
      <c r="A46" s="205" t="s">
        <v>478</v>
      </c>
      <c r="B46" s="192">
        <f t="shared" si="3"/>
        <v>535541.00000000035</v>
      </c>
      <c r="C46" s="192"/>
      <c r="D46" s="192"/>
      <c r="E46" s="192"/>
      <c r="F46" s="192"/>
      <c r="G46" s="192"/>
      <c r="H46" s="192"/>
      <c r="I46" s="192"/>
      <c r="J46" s="192"/>
      <c r="K46" s="248">
        <f>K$24*ParâmeetrosTRU!K46</f>
        <v>63.000000000000014</v>
      </c>
      <c r="L46" s="248">
        <f>L$24*ParâmeetrosTRU!L46</f>
        <v>1830.0000000000005</v>
      </c>
      <c r="M46" s="248">
        <f>M$24*ParâmeetrosTRU!M46</f>
        <v>22246.000000000011</v>
      </c>
      <c r="N46" s="248">
        <f>N$24*ParâmeetrosTRU!N46</f>
        <v>3243.0000000000005</v>
      </c>
      <c r="O46" s="248">
        <f>O$24*ParâmeetrosTRU!O46</f>
        <v>1754.9999999999995</v>
      </c>
      <c r="P46" s="248">
        <f>P$24*ParâmeetrosTRU!P46</f>
        <v>25118.000000000036</v>
      </c>
      <c r="Q46" s="248">
        <f>Q$24*ParâmeetrosTRU!Q46</f>
        <v>6656.0000000000036</v>
      </c>
      <c r="R46" s="248">
        <f>R$24*ParâmeetrosTRU!R46</f>
        <v>56654.000000000036</v>
      </c>
      <c r="S46" s="248">
        <f>S$24*ParâmeetrosTRU!S46</f>
        <v>34169.000000000022</v>
      </c>
      <c r="T46" s="248">
        <f>T$24*ParâmeetrosTRU!T46</f>
        <v>1273.0000000000009</v>
      </c>
      <c r="U46" s="248">
        <f>U$24*ParâmeetrosTRU!U46</f>
        <v>77971.000000000044</v>
      </c>
      <c r="V46" s="248">
        <f>V$24*ParâmeetrosTRU!V46</f>
        <v>37213</v>
      </c>
      <c r="W46" s="192">
        <f t="shared" si="2"/>
        <v>268191.00000000017</v>
      </c>
      <c r="X46" s="191"/>
      <c r="Y46" s="232"/>
      <c r="Z46" s="232"/>
      <c r="AA46" s="232"/>
      <c r="AB46" s="232"/>
      <c r="AC46" s="232"/>
      <c r="AD46" s="248"/>
      <c r="AE46" s="248">
        <f>SimulCEI2!Z15</f>
        <v>267350.00000000012</v>
      </c>
      <c r="AF46" s="248">
        <f t="shared" si="4"/>
        <v>535541.00000000035</v>
      </c>
      <c r="AH46" s="232">
        <f>ParâmeetrosTRU!AH46</f>
        <v>6.7093437729302474E-5</v>
      </c>
      <c r="AI46" s="232">
        <f>ParâmeetrosTRU!AI46</f>
        <v>3.8555455596966971E-3</v>
      </c>
      <c r="AJ46" s="232">
        <f>ParâmeetrosTRU!AJ46</f>
        <v>3.4390419533436743E-3</v>
      </c>
      <c r="AK46" s="232">
        <f>ParâmeetrosTRU!AK46</f>
        <v>6.0844734294441235E-3</v>
      </c>
      <c r="AL46" s="232">
        <f>ParâmeetrosTRU!AL46</f>
        <v>2.5685532971150243E-3</v>
      </c>
      <c r="AM46" s="232">
        <f>ParâmeetrosTRU!AM46</f>
        <v>0.17847474367081861</v>
      </c>
      <c r="AN46" s="232">
        <f>ParâmeetrosTRU!AN46</f>
        <v>1.1712371192071625E-2</v>
      </c>
      <c r="AO46" s="232">
        <f>ParâmeetrosTRU!AO46</f>
        <v>0.10578835233903661</v>
      </c>
      <c r="AP46" s="232">
        <f>ParâmeetrosTRU!AP46</f>
        <v>4.2707192816682414E-2</v>
      </c>
      <c r="AQ46" s="232">
        <f>ParâmeetrosTRU!AQ46</f>
        <v>1.6052254944611524E-3</v>
      </c>
      <c r="AR46" s="232">
        <f>ParâmeetrosTRU!AR46</f>
        <v>3.6686054772890025E-2</v>
      </c>
      <c r="AS46" s="232">
        <f>ParâmeetrosTRU!AS46</f>
        <v>2.539649391481907E-2</v>
      </c>
      <c r="BB46" s="54">
        <v>1</v>
      </c>
      <c r="BH46" s="256">
        <f>AU46-ParâmeetrosTRU!AH46</f>
        <v>-6.7093437729302474E-5</v>
      </c>
      <c r="BI46" s="256">
        <f>AV46-ParâmeetrosTRU!AI46</f>
        <v>-3.8555455596966971E-3</v>
      </c>
      <c r="BJ46" s="256">
        <f>AW46-ParâmeetrosTRU!AJ46</f>
        <v>-3.4390419533436743E-3</v>
      </c>
      <c r="BK46" s="256">
        <f>AX46-ParâmeetrosTRU!AK46</f>
        <v>-6.0844734294441235E-3</v>
      </c>
      <c r="BL46" s="256">
        <f>AY46-ParâmeetrosTRU!AL46</f>
        <v>-2.5685532971150243E-3</v>
      </c>
      <c r="BM46" s="256">
        <f>AZ46-ParâmeetrosTRU!AM46</f>
        <v>-0.17847474367081861</v>
      </c>
      <c r="BN46" s="256">
        <f>BA46-ParâmeetrosTRU!AN46</f>
        <v>-1.1712371192071625E-2</v>
      </c>
      <c r="BO46" s="256">
        <f>BB46-ParâmeetrosTRU!AO46</f>
        <v>0.89421164766096339</v>
      </c>
      <c r="BP46" s="256">
        <f>BC46-ParâmeetrosTRU!AP46</f>
        <v>-4.2707192816682414E-2</v>
      </c>
      <c r="BQ46" s="256">
        <f>BD46-ParâmeetrosTRU!AQ46</f>
        <v>-1.6052254944611524E-3</v>
      </c>
      <c r="BR46" s="256">
        <f>BE46-ParâmeetrosTRU!AR46</f>
        <v>-3.6686054772890025E-2</v>
      </c>
      <c r="BS46" s="256">
        <f>BF46-ParâmeetrosTRU!AS46</f>
        <v>-2.539649391481907E-2</v>
      </c>
      <c r="BU46" s="54">
        <v>6.5633720736583481E-3</v>
      </c>
      <c r="BV46" s="54">
        <v>2.0466047819730264E-2</v>
      </c>
      <c r="BW46" s="54">
        <v>1.4652172866639517E-2</v>
      </c>
      <c r="BX46" s="54">
        <v>1.8109318767357351E-2</v>
      </c>
      <c r="BY46" s="54">
        <v>1.2124946037329814E-2</v>
      </c>
      <c r="BZ46" s="54">
        <v>0.3531587501446749</v>
      </c>
      <c r="CA46" s="54">
        <v>3.5182773164426362E-2</v>
      </c>
      <c r="CB46" s="54">
        <v>1.1327852903197395</v>
      </c>
      <c r="CC46" s="54">
        <v>6.2419079835256144E-2</v>
      </c>
      <c r="CD46" s="54">
        <v>4.8418743005082523E-3</v>
      </c>
      <c r="CE46" s="54">
        <v>5.1261184362125206E-2</v>
      </c>
      <c r="CF46" s="54">
        <v>3.8508623515456544E-2</v>
      </c>
      <c r="CH46" s="248">
        <v>535541.00000000035</v>
      </c>
      <c r="CI46" s="248">
        <f>Original!AF46</f>
        <v>535541</v>
      </c>
      <c r="CK46" s="248">
        <v>268191.00000000017</v>
      </c>
      <c r="CL46" s="248">
        <v>152610.00000000009</v>
      </c>
    </row>
    <row r="47" spans="1:90" s="54" customFormat="1" ht="9.75" customHeight="1">
      <c r="A47" s="206" t="s">
        <v>479</v>
      </c>
      <c r="B47" s="192">
        <f t="shared" si="3"/>
        <v>800076.00000000047</v>
      </c>
      <c r="C47" s="192"/>
      <c r="D47" s="192"/>
      <c r="E47" s="192"/>
      <c r="F47" s="192"/>
      <c r="G47" s="192"/>
      <c r="H47" s="192"/>
      <c r="I47" s="192"/>
      <c r="J47" s="192"/>
      <c r="K47" s="248">
        <f>K$24*ParâmeetrosTRU!K47</f>
        <v>12145.000000000002</v>
      </c>
      <c r="L47" s="248">
        <f>L$24*ParâmeetrosTRU!L47</f>
        <v>8823.0000000000018</v>
      </c>
      <c r="M47" s="248">
        <f>M$24*ParâmeetrosTRU!M47</f>
        <v>68105.000000000029</v>
      </c>
      <c r="N47" s="248">
        <f>N$24*ParâmeetrosTRU!N47</f>
        <v>11655.000000000002</v>
      </c>
      <c r="O47" s="248">
        <f>O$24*ParâmeetrosTRU!O47</f>
        <v>9619.9999999999982</v>
      </c>
      <c r="P47" s="248">
        <f>P$24*ParâmeetrosTRU!P47</f>
        <v>37998.000000000058</v>
      </c>
      <c r="Q47" s="248">
        <f>Q$24*ParâmeetrosTRU!Q47</f>
        <v>16729.000000000007</v>
      </c>
      <c r="R47" s="248">
        <f>R$24*ParâmeetrosTRU!R47</f>
        <v>14335.000000000011</v>
      </c>
      <c r="S47" s="248">
        <f>S$24*ParâmeetrosTRU!S47</f>
        <v>111389.00000000007</v>
      </c>
      <c r="T47" s="248">
        <f>T$24*ParâmeetrosTRU!T47</f>
        <v>28083.000000000018</v>
      </c>
      <c r="U47" s="248">
        <f>U$24*ParâmeetrosTRU!U47</f>
        <v>31616.000000000022</v>
      </c>
      <c r="V47" s="248">
        <f>V$24*ParâmeetrosTRU!V47</f>
        <v>60811</v>
      </c>
      <c r="W47" s="192">
        <f t="shared" si="2"/>
        <v>411309.00000000017</v>
      </c>
      <c r="X47" s="191"/>
      <c r="Y47" s="232"/>
      <c r="Z47" s="232"/>
      <c r="AA47" s="232"/>
      <c r="AB47" s="232"/>
      <c r="AC47" s="232"/>
      <c r="AD47" s="248"/>
      <c r="AE47" s="248">
        <f>SimulCEI2!Z16</f>
        <v>388767.00000000023</v>
      </c>
      <c r="AF47" s="248">
        <f t="shared" si="4"/>
        <v>800076.00000000047</v>
      </c>
      <c r="AH47" s="232">
        <f>ParâmeetrosTRU!AH47</f>
        <v>1.2934123828926643E-2</v>
      </c>
      <c r="AI47" s="232">
        <f>ParâmeetrosTRU!AI47</f>
        <v>1.8588786050931123E-2</v>
      </c>
      <c r="AJ47" s="232">
        <f>ParâmeetrosTRU!AJ47</f>
        <v>1.0528452406386359E-2</v>
      </c>
      <c r="AK47" s="232">
        <f>ParâmeetrosTRU!AK47</f>
        <v>2.1866955849574855E-2</v>
      </c>
      <c r="AL47" s="232">
        <f>ParâmeetrosTRU!AL47</f>
        <v>1.4079477332334207E-2</v>
      </c>
      <c r="AM47" s="232">
        <f>ParâmeetrosTRU!AM47</f>
        <v>0.2699929656025068</v>
      </c>
      <c r="AN47" s="232">
        <f>ParâmeetrosTRU!AN47</f>
        <v>2.943753871276536E-2</v>
      </c>
      <c r="AO47" s="232">
        <f>ParâmeetrosTRU!AO47</f>
        <v>2.6767325004061315E-2</v>
      </c>
      <c r="AP47" s="232">
        <f>ParâmeetrosTRU!AP47</f>
        <v>0.1392230238127378</v>
      </c>
      <c r="AQ47" s="232">
        <f>ParâmeetrosTRU!AQ47</f>
        <v>3.5412056214416766E-2</v>
      </c>
      <c r="AR47" s="232">
        <f>ParâmeetrosTRU!AR47</f>
        <v>1.4875611544031641E-2</v>
      </c>
      <c r="AS47" s="232">
        <f>ParâmeetrosTRU!AS47</f>
        <v>4.1501254708141304E-2</v>
      </c>
      <c r="BC47" s="54">
        <v>1</v>
      </c>
      <c r="BH47" s="256">
        <f>AU47-ParâmeetrosTRU!AH47</f>
        <v>-1.2934123828926643E-2</v>
      </c>
      <c r="BI47" s="256">
        <f>AV47-ParâmeetrosTRU!AI47</f>
        <v>-1.8588786050931123E-2</v>
      </c>
      <c r="BJ47" s="256">
        <f>AW47-ParâmeetrosTRU!AJ47</f>
        <v>-1.0528452406386359E-2</v>
      </c>
      <c r="BK47" s="256">
        <f>AX47-ParâmeetrosTRU!AK47</f>
        <v>-2.1866955849574855E-2</v>
      </c>
      <c r="BL47" s="256">
        <f>AY47-ParâmeetrosTRU!AL47</f>
        <v>-1.4079477332334207E-2</v>
      </c>
      <c r="BM47" s="256">
        <f>AZ47-ParâmeetrosTRU!AM47</f>
        <v>-0.2699929656025068</v>
      </c>
      <c r="BN47" s="256">
        <f>BA47-ParâmeetrosTRU!AN47</f>
        <v>-2.943753871276536E-2</v>
      </c>
      <c r="BO47" s="256">
        <f>BB47-ParâmeetrosTRU!AO47</f>
        <v>-2.6767325004061315E-2</v>
      </c>
      <c r="BP47" s="256">
        <f>BC47-ParâmeetrosTRU!AP47</f>
        <v>0.86077697618726223</v>
      </c>
      <c r="BQ47" s="256">
        <f>BD47-ParâmeetrosTRU!AQ47</f>
        <v>-3.5412056214416766E-2</v>
      </c>
      <c r="BR47" s="256">
        <f>BE47-ParâmeetrosTRU!AR47</f>
        <v>-1.4875611544031641E-2</v>
      </c>
      <c r="BS47" s="256">
        <f>BF47-ParâmeetrosTRU!AS47</f>
        <v>-4.1501254708141304E-2</v>
      </c>
      <c r="BU47" s="54">
        <v>2.71698355828578E-2</v>
      </c>
      <c r="BV47" s="54">
        <v>4.2792709090289135E-2</v>
      </c>
      <c r="BW47" s="54">
        <v>3.0223191825544869E-2</v>
      </c>
      <c r="BX47" s="54">
        <v>4.4631895442848714E-2</v>
      </c>
      <c r="BY47" s="54">
        <v>3.2210772697367683E-2</v>
      </c>
      <c r="BZ47" s="54">
        <v>0.50503798728656712</v>
      </c>
      <c r="CA47" s="54">
        <v>6.5548079287680597E-2</v>
      </c>
      <c r="CB47" s="54">
        <v>4.7111769546974692E-2</v>
      </c>
      <c r="CC47" s="54">
        <v>1.1690416674853024</v>
      </c>
      <c r="CD47" s="54">
        <v>4.2588568971590725E-2</v>
      </c>
      <c r="CE47" s="54">
        <v>2.9581074452843574E-2</v>
      </c>
      <c r="CF47" s="54">
        <v>5.7452660240315846E-2</v>
      </c>
      <c r="CH47" s="248">
        <v>800076.00000000047</v>
      </c>
      <c r="CI47" s="248">
        <f>Original!AF47</f>
        <v>800076</v>
      </c>
      <c r="CK47" s="248">
        <v>411309.00000000017</v>
      </c>
      <c r="CL47" s="248">
        <v>379659.00000000023</v>
      </c>
    </row>
    <row r="48" spans="1:90" s="54" customFormat="1" ht="10.15" customHeight="1">
      <c r="A48" s="205" t="s">
        <v>480</v>
      </c>
      <c r="B48" s="192">
        <f t="shared" si="3"/>
        <v>793035.00000000047</v>
      </c>
      <c r="C48" s="192"/>
      <c r="D48" s="192"/>
      <c r="E48" s="192"/>
      <c r="F48" s="192"/>
      <c r="G48" s="192"/>
      <c r="H48" s="192"/>
      <c r="I48" s="192"/>
      <c r="J48" s="192"/>
      <c r="K48" s="248">
        <f>K$24*ParâmeetrosTRU!K48</f>
        <v>27.000000000000007</v>
      </c>
      <c r="L48" s="248">
        <f>L$24*ParâmeetrosTRU!L48</f>
        <v>745</v>
      </c>
      <c r="M48" s="248">
        <f>M$24*ParâmeetrosTRU!M48</f>
        <v>8979.0000000000036</v>
      </c>
      <c r="N48" s="248">
        <f>N$24*ParâmeetrosTRU!N48</f>
        <v>1618.0000000000002</v>
      </c>
      <c r="O48" s="248">
        <f>O$24*ParâmeetrosTRU!O48</f>
        <v>1497.9999999999995</v>
      </c>
      <c r="P48" s="248">
        <f>P$24*ParâmeetrosTRU!P48</f>
        <v>59453.000000000087</v>
      </c>
      <c r="Q48" s="248">
        <f>Q$24*ParâmeetrosTRU!Q48</f>
        <v>6412.0000000000036</v>
      </c>
      <c r="R48" s="248">
        <f>R$24*ParâmeetrosTRU!R48</f>
        <v>6456.0000000000045</v>
      </c>
      <c r="S48" s="248">
        <f>S$24*ParâmeetrosTRU!S48</f>
        <v>6844.0000000000045</v>
      </c>
      <c r="T48" s="248">
        <f>T$24*ParâmeetrosTRU!T48</f>
        <v>2942.0000000000018</v>
      </c>
      <c r="U48" s="248">
        <f>U$24*ParâmeetrosTRU!U48</f>
        <v>45392.000000000029</v>
      </c>
      <c r="V48" s="248">
        <f>V$24*ParâmeetrosTRU!V48</f>
        <v>4778</v>
      </c>
      <c r="W48" s="192">
        <f t="shared" si="2"/>
        <v>145144.00000000012</v>
      </c>
      <c r="X48" s="191"/>
      <c r="Y48" s="232"/>
      <c r="Z48" s="232"/>
      <c r="AA48" s="232"/>
      <c r="AB48" s="232"/>
      <c r="AC48" s="232"/>
      <c r="AD48" s="248"/>
      <c r="AE48" s="248">
        <f>SimulCEI2!Z17</f>
        <v>647891.00000000035</v>
      </c>
      <c r="AF48" s="248">
        <f t="shared" si="4"/>
        <v>793035.00000000047</v>
      </c>
      <c r="AH48" s="232">
        <f>ParâmeetrosTRU!AH48</f>
        <v>2.8754330455415347E-5</v>
      </c>
      <c r="AI48" s="232">
        <f>ParâmeetrosTRU!AI48</f>
        <v>1.5696073453410051E-3</v>
      </c>
      <c r="AJ48" s="232">
        <f>ParâmeetrosTRU!AJ48</f>
        <v>1.3880768542242584E-3</v>
      </c>
      <c r="AK48" s="232">
        <f>ParâmeetrosTRU!AK48</f>
        <v>3.0356700613137812E-3</v>
      </c>
      <c r="AL48" s="232">
        <f>ParâmeetrosTRU!AL48</f>
        <v>2.1924175721243912E-3</v>
      </c>
      <c r="AM48" s="232">
        <f>ParâmeetrosTRU!AM48</f>
        <v>0.42244043854849828</v>
      </c>
      <c r="AN48" s="232">
        <f>ParâmeetrosTRU!AN48</f>
        <v>1.1283011430823808E-2</v>
      </c>
      <c r="AO48" s="232">
        <f>ParâmeetrosTRU!AO48</f>
        <v>1.2055099422826636E-2</v>
      </c>
      <c r="AP48" s="232">
        <f>ParâmeetrosTRU!AP48</f>
        <v>8.5541873522015401E-3</v>
      </c>
      <c r="AQ48" s="232">
        <f>ParâmeetrosTRU!AQ48</f>
        <v>3.7097984326038575E-3</v>
      </c>
      <c r="AR48" s="232">
        <f>ParâmeetrosTRU!AR48</f>
        <v>2.1357343092316683E-2</v>
      </c>
      <c r="AS48" s="232">
        <f>ParâmeetrosTRU!AS48</f>
        <v>3.2608079951900013E-3</v>
      </c>
      <c r="BD48" s="54">
        <v>1</v>
      </c>
      <c r="BH48" s="256">
        <f>AU48-ParâmeetrosTRU!AH48</f>
        <v>-2.8754330455415347E-5</v>
      </c>
      <c r="BI48" s="256">
        <f>AV48-ParâmeetrosTRU!AI48</f>
        <v>-1.5696073453410051E-3</v>
      </c>
      <c r="BJ48" s="256">
        <f>AW48-ParâmeetrosTRU!AJ48</f>
        <v>-1.3880768542242584E-3</v>
      </c>
      <c r="BK48" s="256">
        <f>AX48-ParâmeetrosTRU!AK48</f>
        <v>-3.0356700613137812E-3</v>
      </c>
      <c r="BL48" s="256">
        <f>AY48-ParâmeetrosTRU!AL48</f>
        <v>-2.1924175721243912E-3</v>
      </c>
      <c r="BM48" s="256">
        <f>AZ48-ParâmeetrosTRU!AM48</f>
        <v>-0.42244043854849828</v>
      </c>
      <c r="BN48" s="256">
        <f>BA48-ParâmeetrosTRU!AN48</f>
        <v>-1.1283011430823808E-2</v>
      </c>
      <c r="BO48" s="256">
        <f>BB48-ParâmeetrosTRU!AO48</f>
        <v>-1.2055099422826636E-2</v>
      </c>
      <c r="BP48" s="256">
        <f>BC48-ParâmeetrosTRU!AP48</f>
        <v>-8.5541873522015401E-3</v>
      </c>
      <c r="BQ48" s="256">
        <f>BD48-ParâmeetrosTRU!AQ48</f>
        <v>0.99629020156739612</v>
      </c>
      <c r="BR48" s="256">
        <f>BE48-ParâmeetrosTRU!AR48</f>
        <v>-2.1357343092316683E-2</v>
      </c>
      <c r="BS48" s="256">
        <f>BF48-ParâmeetrosTRU!AS48</f>
        <v>-3.2608079951900013E-3</v>
      </c>
      <c r="BU48" s="54">
        <v>4.438785078962045E-3</v>
      </c>
      <c r="BV48" s="54">
        <v>1.3689346392996883E-2</v>
      </c>
      <c r="BW48" s="54">
        <v>1.0716280814879504E-2</v>
      </c>
      <c r="BX48" s="54">
        <v>1.0268586421599425E-2</v>
      </c>
      <c r="BY48" s="54">
        <v>8.4737738650282942E-3</v>
      </c>
      <c r="BZ48" s="54">
        <v>0.5462931926618565</v>
      </c>
      <c r="CA48" s="54">
        <v>3.0973346875902554E-2</v>
      </c>
      <c r="CB48" s="54">
        <v>2.3876717957913011E-2</v>
      </c>
      <c r="CC48" s="54">
        <v>1.4799595617384224E-2</v>
      </c>
      <c r="CD48" s="54">
        <v>1.00478992357085</v>
      </c>
      <c r="CE48" s="54">
        <v>2.8385946911523394E-2</v>
      </c>
      <c r="CF48" s="54">
        <v>9.5755404019069526E-3</v>
      </c>
      <c r="CH48" s="248">
        <v>793035.00000000047</v>
      </c>
      <c r="CI48" s="248">
        <f>Original!AF48</f>
        <v>793035</v>
      </c>
      <c r="CK48" s="248">
        <v>145144.00000000012</v>
      </c>
      <c r="CL48" s="248">
        <v>643203.00000000035</v>
      </c>
    </row>
    <row r="49" spans="1:90" s="54" customFormat="1" ht="10.15" customHeight="1">
      <c r="A49" s="205" t="s">
        <v>481</v>
      </c>
      <c r="B49" s="192">
        <f t="shared" si="3"/>
        <v>2125358.0000000014</v>
      </c>
      <c r="C49" s="192"/>
      <c r="D49" s="192"/>
      <c r="E49" s="192"/>
      <c r="F49" s="192"/>
      <c r="G49" s="192"/>
      <c r="H49" s="192"/>
      <c r="I49" s="192"/>
      <c r="J49" s="192"/>
      <c r="K49" s="248">
        <f>K$24*ParâmeetrosTRU!K49</f>
        <v>3908.0000000000005</v>
      </c>
      <c r="L49" s="248">
        <f>L$24*ParâmeetrosTRU!L49</f>
        <v>52747.000000000007</v>
      </c>
      <c r="M49" s="248">
        <f>M$24*ParâmeetrosTRU!M49</f>
        <v>199401.00000000009</v>
      </c>
      <c r="N49" s="248">
        <f>N$24*ParâmeetrosTRU!N49</f>
        <v>21493</v>
      </c>
      <c r="O49" s="248">
        <f>O$24*ParâmeetrosTRU!O49</f>
        <v>19427.999999999996</v>
      </c>
      <c r="P49" s="248">
        <f>P$24*ParâmeetrosTRU!P49</f>
        <v>164866.00000000026</v>
      </c>
      <c r="Q49" s="248">
        <f>Q$24*ParâmeetrosTRU!Q49</f>
        <v>51101.000000000029</v>
      </c>
      <c r="R49" s="248">
        <f>R$24*ParâmeetrosTRU!R49</f>
        <v>79932.000000000058</v>
      </c>
      <c r="S49" s="248">
        <f>S$24*ParâmeetrosTRU!S49</f>
        <v>73483.000000000058</v>
      </c>
      <c r="T49" s="248">
        <f>T$24*ParâmeetrosTRU!T49</f>
        <v>7373.0000000000045</v>
      </c>
      <c r="U49" s="248">
        <f>U$24*ParâmeetrosTRU!U49</f>
        <v>227146.00000000015</v>
      </c>
      <c r="V49" s="248">
        <f>V$24*ParâmeetrosTRU!V49</f>
        <v>130929</v>
      </c>
      <c r="W49" s="192">
        <f t="shared" si="2"/>
        <v>1031807.0000000006</v>
      </c>
      <c r="X49" s="191"/>
      <c r="Y49" s="232"/>
      <c r="Z49" s="232"/>
      <c r="AA49" s="232"/>
      <c r="AB49" s="232"/>
      <c r="AC49" s="232"/>
      <c r="AD49" s="248"/>
      <c r="AE49" s="248">
        <f>SimulCEI2!Z18</f>
        <v>1093551.0000000005</v>
      </c>
      <c r="AF49" s="248">
        <f t="shared" si="4"/>
        <v>2125358.0000000014</v>
      </c>
      <c r="AH49" s="232">
        <f>ParâmeetrosTRU!AH49</f>
        <v>4.1619230896208581E-3</v>
      </c>
      <c r="AI49" s="232">
        <f>ParâmeetrosTRU!AI49</f>
        <v>0.11113030690564027</v>
      </c>
      <c r="AJ49" s="232">
        <f>ParâmeetrosTRU!AJ49</f>
        <v>3.0825694710900027E-2</v>
      </c>
      <c r="AK49" s="232">
        <f>ParâmeetrosTRU!AK49</f>
        <v>4.0324880486907973E-2</v>
      </c>
      <c r="AL49" s="232">
        <f>ParâmeetrosTRU!AL49</f>
        <v>2.8434104533533157E-2</v>
      </c>
      <c r="AM49" s="232">
        <f>ParâmeetrosTRU!AM49</f>
        <v>1.1714474516296354</v>
      </c>
      <c r="AN49" s="232">
        <f>ParâmeetrosTRU!AN49</f>
        <v>8.9920955571822739E-2</v>
      </c>
      <c r="AO49" s="232">
        <f>ParâmeetrosTRU!AO49</f>
        <v>0.14925467891347255</v>
      </c>
      <c r="AP49" s="232">
        <f>ParâmeetrosTRU!AP49</f>
        <v>9.1845024722651353E-2</v>
      </c>
      <c r="AQ49" s="232">
        <f>ParâmeetrosTRU!AQ49</f>
        <v>9.2971936925860775E-3</v>
      </c>
      <c r="AR49" s="232">
        <f>ParâmeetrosTRU!AR49</f>
        <v>0.1068742301297005</v>
      </c>
      <c r="AS49" s="232">
        <f>ParâmeetrosTRU!AS49</f>
        <v>8.9354192131065643E-2</v>
      </c>
      <c r="BE49" s="54">
        <v>1</v>
      </c>
      <c r="BH49" s="256">
        <f>AU49-ParâmeetrosTRU!AH49</f>
        <v>-4.1619230896208581E-3</v>
      </c>
      <c r="BI49" s="256">
        <f>AV49-ParâmeetrosTRU!AI49</f>
        <v>-0.11113030690564027</v>
      </c>
      <c r="BJ49" s="256">
        <f>AW49-ParâmeetrosTRU!AJ49</f>
        <v>-3.0825694710900027E-2</v>
      </c>
      <c r="BK49" s="256">
        <f>AX49-ParâmeetrosTRU!AK49</f>
        <v>-4.0324880486907973E-2</v>
      </c>
      <c r="BL49" s="256">
        <f>AY49-ParâmeetrosTRU!AL49</f>
        <v>-2.8434104533533157E-2</v>
      </c>
      <c r="BM49" s="256">
        <f>AZ49-ParâmeetrosTRU!AM49</f>
        <v>-1.1714474516296354</v>
      </c>
      <c r="BN49" s="256">
        <f>BA49-ParâmeetrosTRU!AN49</f>
        <v>-8.9920955571822739E-2</v>
      </c>
      <c r="BO49" s="256">
        <f>BB49-ParâmeetrosTRU!AO49</f>
        <v>-0.14925467891347255</v>
      </c>
      <c r="BP49" s="256">
        <f>BC49-ParâmeetrosTRU!AP49</f>
        <v>-9.1845024722651353E-2</v>
      </c>
      <c r="BQ49" s="256">
        <f>BD49-ParâmeetrosTRU!AQ49</f>
        <v>-9.2971936925860775E-3</v>
      </c>
      <c r="BR49" s="256">
        <f>BE49-ParâmeetrosTRU!AR49</f>
        <v>0.89312576987029946</v>
      </c>
      <c r="BS49" s="256">
        <f>BF49-ParâmeetrosTRU!AS49</f>
        <v>-8.9354192131065643E-2</v>
      </c>
      <c r="BU49" s="54">
        <v>3.8979810767313175E-2</v>
      </c>
      <c r="BV49" s="54">
        <v>0.18641287074277021</v>
      </c>
      <c r="BW49" s="54">
        <v>8.8443670279394052E-2</v>
      </c>
      <c r="BX49" s="54">
        <v>9.4434173546497288E-2</v>
      </c>
      <c r="BY49" s="54">
        <v>7.7747501290252805E-2</v>
      </c>
      <c r="BZ49" s="54">
        <v>1.8280037138654066</v>
      </c>
      <c r="CA49" s="54">
        <v>0.19621956052134149</v>
      </c>
      <c r="CB49" s="54">
        <v>0.2181864352812263</v>
      </c>
      <c r="CC49" s="54">
        <v>0.13784823192726695</v>
      </c>
      <c r="CD49" s="54">
        <v>1.793808267791985E-2</v>
      </c>
      <c r="CE49" s="54">
        <v>1.1518533284344277</v>
      </c>
      <c r="CF49" s="54">
        <v>0.12859441484161177</v>
      </c>
      <c r="CH49" s="248">
        <v>2125358.0000000014</v>
      </c>
      <c r="CI49" s="248">
        <f>Original!AF49</f>
        <v>2125358</v>
      </c>
      <c r="CK49" s="248">
        <v>1031807.0000000006</v>
      </c>
      <c r="CL49" s="248">
        <v>915862.00000000058</v>
      </c>
    </row>
    <row r="50" spans="1:90" s="54" customFormat="1" ht="10.15" customHeight="1">
      <c r="A50" s="205" t="s">
        <v>482</v>
      </c>
      <c r="B50" s="192">
        <f t="shared" si="3"/>
        <v>1465281</v>
      </c>
      <c r="C50" s="192"/>
      <c r="D50" s="192"/>
      <c r="E50" s="192"/>
      <c r="F50" s="192"/>
      <c r="G50" s="192"/>
      <c r="H50" s="192"/>
      <c r="I50" s="192"/>
      <c r="J50" s="192"/>
      <c r="K50" s="248">
        <f>K$24*ParâmeetrosTRU!K50</f>
        <v>0</v>
      </c>
      <c r="L50" s="248">
        <f>L$24*ParâmeetrosTRU!L50</f>
        <v>0</v>
      </c>
      <c r="M50" s="248">
        <f>M$24*ParâmeetrosTRU!M50</f>
        <v>0</v>
      </c>
      <c r="N50" s="248">
        <f>N$24*ParâmeetrosTRU!N50</f>
        <v>0</v>
      </c>
      <c r="O50" s="248">
        <f>O$24*ParâmeetrosTRU!O50</f>
        <v>0</v>
      </c>
      <c r="P50" s="248">
        <f>P$24*ParâmeetrosTRU!P50</f>
        <v>0</v>
      </c>
      <c r="Q50" s="248">
        <f>Q$24*ParâmeetrosTRU!Q50</f>
        <v>0</v>
      </c>
      <c r="R50" s="248">
        <f>R$24*ParâmeetrosTRU!R50</f>
        <v>0</v>
      </c>
      <c r="S50" s="248">
        <f>S$24*ParâmeetrosTRU!S50</f>
        <v>0</v>
      </c>
      <c r="T50" s="248">
        <f>T$24*ParâmeetrosTRU!T50</f>
        <v>0</v>
      </c>
      <c r="U50" s="248">
        <f>U$24*ParâmeetrosTRU!U50</f>
        <v>0</v>
      </c>
      <c r="V50" s="248">
        <f>V$24*ParâmeetrosTRU!V50</f>
        <v>0</v>
      </c>
      <c r="W50" s="192">
        <f t="shared" si="2"/>
        <v>0</v>
      </c>
      <c r="X50" s="191"/>
      <c r="Y50" s="232"/>
      <c r="Z50" s="232"/>
      <c r="AA50" s="232"/>
      <c r="AB50" s="232"/>
      <c r="AC50" s="232"/>
      <c r="AD50" s="248"/>
      <c r="AE50" s="248">
        <f>SimulCEI2!Z19</f>
        <v>1465281</v>
      </c>
      <c r="AF50" s="248">
        <f t="shared" si="4"/>
        <v>1465281</v>
      </c>
      <c r="AH50" s="232">
        <f>ParâmeetrosTRU!AH50</f>
        <v>0</v>
      </c>
      <c r="AI50" s="232">
        <f>ParâmeetrosTRU!AI50</f>
        <v>0</v>
      </c>
      <c r="AJ50" s="232">
        <f>ParâmeetrosTRU!AJ50</f>
        <v>0</v>
      </c>
      <c r="AK50" s="232">
        <f>ParâmeetrosTRU!AK50</f>
        <v>0</v>
      </c>
      <c r="AL50" s="232">
        <f>ParâmeetrosTRU!AL50</f>
        <v>0</v>
      </c>
      <c r="AM50" s="232">
        <f>ParâmeetrosTRU!AM50</f>
        <v>0</v>
      </c>
      <c r="AN50" s="232">
        <f>ParâmeetrosTRU!AN50</f>
        <v>0</v>
      </c>
      <c r="AO50" s="232">
        <f>ParâmeetrosTRU!AO50</f>
        <v>0</v>
      </c>
      <c r="AP50" s="232">
        <f>ParâmeetrosTRU!AP50</f>
        <v>0</v>
      </c>
      <c r="AQ50" s="232">
        <f>ParâmeetrosTRU!AQ50</f>
        <v>0</v>
      </c>
      <c r="AR50" s="232">
        <f>ParâmeetrosTRU!AR50</f>
        <v>0</v>
      </c>
      <c r="AS50" s="232">
        <f>ParâmeetrosTRU!AS50</f>
        <v>0</v>
      </c>
      <c r="BF50" s="54">
        <v>1</v>
      </c>
      <c r="BH50" s="256">
        <f>AU50-ParâmeetrosTRU!AH50</f>
        <v>0</v>
      </c>
      <c r="BI50" s="256">
        <f>AV50-ParâmeetrosTRU!AI50</f>
        <v>0</v>
      </c>
      <c r="BJ50" s="256">
        <f>AW50-ParâmeetrosTRU!AJ50</f>
        <v>0</v>
      </c>
      <c r="BK50" s="256">
        <f>AX50-ParâmeetrosTRU!AK50</f>
        <v>0</v>
      </c>
      <c r="BL50" s="256">
        <f>AY50-ParâmeetrosTRU!AL50</f>
        <v>0</v>
      </c>
      <c r="BM50" s="256">
        <f>AZ50-ParâmeetrosTRU!AM50</f>
        <v>0</v>
      </c>
      <c r="BN50" s="256">
        <f>BA50-ParâmeetrosTRU!AN50</f>
        <v>0</v>
      </c>
      <c r="BO50" s="256">
        <f>BB50-ParâmeetrosTRU!AO50</f>
        <v>0</v>
      </c>
      <c r="BP50" s="256">
        <f>BC50-ParâmeetrosTRU!AP50</f>
        <v>0</v>
      </c>
      <c r="BQ50" s="256">
        <f>BD50-ParâmeetrosTRU!AQ50</f>
        <v>0</v>
      </c>
      <c r="BR50" s="256">
        <f>BE50-ParâmeetrosTRU!AR50</f>
        <v>0</v>
      </c>
      <c r="BS50" s="256">
        <f>BF50-ParâmeetrosTRU!AS50</f>
        <v>1</v>
      </c>
      <c r="BU50" s="54">
        <v>0</v>
      </c>
      <c r="BV50" s="54">
        <v>0</v>
      </c>
      <c r="BW50" s="54">
        <v>0</v>
      </c>
      <c r="BX50" s="54">
        <v>0</v>
      </c>
      <c r="BY50" s="54">
        <v>0</v>
      </c>
      <c r="BZ50" s="54">
        <v>0</v>
      </c>
      <c r="CA50" s="54">
        <v>0</v>
      </c>
      <c r="CB50" s="54">
        <v>0</v>
      </c>
      <c r="CC50" s="54">
        <v>0</v>
      </c>
      <c r="CD50" s="54">
        <v>0</v>
      </c>
      <c r="CE50" s="54">
        <v>0</v>
      </c>
      <c r="CF50" s="54">
        <v>1</v>
      </c>
      <c r="CH50" s="248">
        <v>1465281</v>
      </c>
      <c r="CI50" s="248">
        <f>Original!AF50</f>
        <v>1465281</v>
      </c>
      <c r="CK50" s="248">
        <v>0</v>
      </c>
      <c r="CL50" s="248">
        <v>0</v>
      </c>
    </row>
    <row r="51" spans="1:90" s="54" customFormat="1" ht="10.15" customHeight="1">
      <c r="A51" s="187" t="s">
        <v>510</v>
      </c>
      <c r="B51" s="192">
        <f>SUM(B39:B50)</f>
        <v>15526868.000000006</v>
      </c>
      <c r="C51" s="192"/>
      <c r="D51" s="192"/>
      <c r="E51" s="192"/>
      <c r="F51" s="192"/>
      <c r="G51" s="192"/>
      <c r="H51" s="192"/>
      <c r="I51" s="192"/>
      <c r="J51" s="192"/>
      <c r="K51" s="248">
        <f>K$24*ParâmeetrosTRU!K51</f>
        <v>361140.00000000006</v>
      </c>
      <c r="L51" s="248">
        <f>L$24*ParâmeetrosTRU!L51</f>
        <v>248416.00000000006</v>
      </c>
      <c r="M51" s="248">
        <f>M$24*ParâmeetrosTRU!M51</f>
        <v>2955687.0000000014</v>
      </c>
      <c r="N51" s="248">
        <f>N$24*ParâmeetrosTRU!N51</f>
        <v>245629.00000000003</v>
      </c>
      <c r="O51" s="248">
        <f>O$24*ParâmeetrosTRU!O51</f>
        <v>344579.99999999994</v>
      </c>
      <c r="P51" s="248">
        <f>P$24*ParâmeetrosTRU!P51</f>
        <v>579205.00000000093</v>
      </c>
      <c r="Q51" s="248">
        <f>Q$24*ParâmeetrosTRU!Q51</f>
        <v>355662.00000000023</v>
      </c>
      <c r="R51" s="248">
        <f>R$24*ParâmeetrosTRU!R51</f>
        <v>198074.00000000015</v>
      </c>
      <c r="S51" s="248">
        <f>S$24*ParâmeetrosTRU!S51</f>
        <v>246353.00000000017</v>
      </c>
      <c r="T51" s="248">
        <f>T$24*ParâmeetrosTRU!T51</f>
        <v>55618.000000000036</v>
      </c>
      <c r="U51" s="248">
        <f>U$24*ParâmeetrosTRU!U51</f>
        <v>730668.00000000047</v>
      </c>
      <c r="V51" s="248">
        <f>V$24*ParâmeetrosTRU!V51</f>
        <v>390229.99999999994</v>
      </c>
      <c r="W51" s="192">
        <f t="shared" si="2"/>
        <v>6711262.0000000019</v>
      </c>
      <c r="X51" s="191"/>
      <c r="Y51" s="233"/>
      <c r="Z51" s="233"/>
      <c r="AA51" s="233"/>
      <c r="AB51" s="233"/>
      <c r="AC51" s="233"/>
      <c r="AD51" s="233"/>
      <c r="AE51" s="248">
        <f>SimulCEI2!Z20</f>
        <v>8815606.0000000019</v>
      </c>
      <c r="AF51" s="248">
        <f t="shared" si="4"/>
        <v>0</v>
      </c>
    </row>
    <row r="52" spans="1:90" s="54" customFormat="1" ht="10.15" customHeight="1">
      <c r="A52" s="438" t="s">
        <v>525</v>
      </c>
      <c r="B52" s="438"/>
      <c r="C52" s="438"/>
      <c r="D52" s="438"/>
      <c r="E52" s="438"/>
      <c r="F52" s="438"/>
      <c r="G52" s="438"/>
      <c r="H52" s="438"/>
      <c r="I52" s="438"/>
      <c r="J52" s="438"/>
      <c r="K52" s="438"/>
      <c r="L52" s="438"/>
      <c r="M52" s="438"/>
      <c r="N52" s="438"/>
      <c r="O52" s="438"/>
      <c r="P52" s="438"/>
      <c r="Q52" s="438"/>
      <c r="R52" s="438"/>
      <c r="S52" s="438"/>
      <c r="T52" s="438"/>
      <c r="U52" s="438"/>
      <c r="V52" s="438"/>
      <c r="W52" s="439"/>
      <c r="X52" s="209"/>
      <c r="Z52" s="192"/>
      <c r="AA52" s="192"/>
      <c r="AB52" s="192"/>
      <c r="AC52" s="192"/>
      <c r="AD52" s="192"/>
      <c r="CL52" s="192">
        <v>212694</v>
      </c>
    </row>
    <row r="53" spans="1:90" s="54" customFormat="1" ht="6.75" customHeight="1" thickBot="1">
      <c r="A53" s="187"/>
      <c r="B53" s="190"/>
      <c r="C53" s="190"/>
      <c r="D53" s="190"/>
      <c r="E53" s="190"/>
      <c r="F53" s="190"/>
      <c r="G53" s="190"/>
      <c r="H53" s="190"/>
      <c r="I53" s="190"/>
      <c r="J53" s="190"/>
      <c r="K53" s="248">
        <f>K$24*ParâmeetrosTRU!K53</f>
        <v>0</v>
      </c>
      <c r="L53" s="248">
        <f>L$24*ParâmeetrosTRU!L53</f>
        <v>0</v>
      </c>
      <c r="M53" s="248">
        <f>M$24*ParâmeetrosTRU!M53</f>
        <v>0</v>
      </c>
      <c r="N53" s="248">
        <f>N$24*ParâmeetrosTRU!N53</f>
        <v>0</v>
      </c>
      <c r="O53" s="248">
        <f>O$24*ParâmeetrosTRU!O53</f>
        <v>0</v>
      </c>
      <c r="P53" s="248">
        <f>P$24*ParâmeetrosTRU!P53</f>
        <v>0</v>
      </c>
      <c r="Q53" s="248">
        <f>Q$24*ParâmeetrosTRU!Q53</f>
        <v>0</v>
      </c>
      <c r="R53" s="248">
        <f>R$24*ParâmeetrosTRU!R53</f>
        <v>0</v>
      </c>
      <c r="S53" s="248">
        <f>S$24*ParâmeetrosTRU!S53</f>
        <v>0</v>
      </c>
      <c r="T53" s="248">
        <f>T$24*ParâmeetrosTRU!T53</f>
        <v>0</v>
      </c>
      <c r="U53" s="248">
        <f>U$24*ParâmeetrosTRU!U53</f>
        <v>0</v>
      </c>
      <c r="V53" s="248">
        <f>V$24*ParâmeetrosTRU!V53</f>
        <v>0</v>
      </c>
      <c r="W53" s="248">
        <f>W$24*ParâmeetrosTRU!W53</f>
        <v>0</v>
      </c>
      <c r="X53" s="190"/>
      <c r="Y53" s="190"/>
      <c r="Z53" s="210"/>
      <c r="AA53" s="190"/>
      <c r="AB53" s="190"/>
      <c r="AC53" s="190"/>
      <c r="AD53" s="190"/>
      <c r="AE53" s="190"/>
      <c r="AF53" s="293">
        <f>SUM(AF39:AF50)</f>
        <v>15526868.000000006</v>
      </c>
      <c r="CL53" s="192">
        <v>0</v>
      </c>
    </row>
    <row r="54" spans="1:90" s="54" customFormat="1" ht="10.15" customHeight="1" thickTop="1">
      <c r="A54" s="187" t="s">
        <v>460</v>
      </c>
      <c r="B54" s="192"/>
      <c r="C54" s="192"/>
      <c r="D54" s="192"/>
      <c r="E54" s="192"/>
      <c r="F54" s="192"/>
      <c r="G54" s="192"/>
      <c r="H54" s="192"/>
      <c r="I54" s="192">
        <f>I24</f>
        <v>1014660.0000000003</v>
      </c>
      <c r="J54" s="192"/>
      <c r="K54" s="248">
        <f>K$24*ParâmeetrosTRU!K54</f>
        <v>434621.00000000006</v>
      </c>
      <c r="L54" s="248">
        <f>L$24*ParâmeetrosTRU!L54</f>
        <v>193615</v>
      </c>
      <c r="M54" s="248">
        <f>M$24*ParâmeetrosTRU!M54</f>
        <v>813689.00000000035</v>
      </c>
      <c r="N54" s="248">
        <f>N$24*ParâmeetrosTRU!N54</f>
        <v>209112.00000000003</v>
      </c>
      <c r="O54" s="248">
        <f>O$24*ParâmeetrosTRU!O54</f>
        <v>267920.99999999994</v>
      </c>
      <c r="P54" s="248">
        <f>P$24*ParâmeetrosTRU!P54</f>
        <v>825346.00000000116</v>
      </c>
      <c r="Q54" s="248">
        <f>Q$24*ParâmeetrosTRU!Q54</f>
        <v>273239.00000000017</v>
      </c>
      <c r="R54" s="248">
        <f>R$24*ParâmeetrosTRU!R54</f>
        <v>237574.00000000017</v>
      </c>
      <c r="S54" s="248">
        <f>S$24*ParâmeetrosTRU!S54</f>
        <v>454550.00000000035</v>
      </c>
      <c r="T54" s="248">
        <f>T$24*ParâmeetrosTRU!T54</f>
        <v>656013.00000000047</v>
      </c>
      <c r="U54" s="248">
        <f>U$24*ParâmeetrosTRU!U54</f>
        <v>1082357.0000000007</v>
      </c>
      <c r="V54" s="248">
        <f>V$24*ParâmeetrosTRU!V54</f>
        <v>1146900</v>
      </c>
      <c r="W54" s="192">
        <f t="shared" ref="W54:W70" si="5">SUM(K54:V54)</f>
        <v>6594937.0000000037</v>
      </c>
      <c r="X54" s="192">
        <f>I54+W54</f>
        <v>7609597.0000000037</v>
      </c>
      <c r="AA54" s="211"/>
      <c r="AB54" s="212"/>
      <c r="AC54" s="212"/>
      <c r="AD54" s="212"/>
      <c r="AE54" s="213"/>
      <c r="CL54" s="192">
        <v>2148705</v>
      </c>
    </row>
    <row r="55" spans="1:90" s="54" customFormat="1" ht="10.15" customHeight="1">
      <c r="A55" s="187" t="s">
        <v>461</v>
      </c>
      <c r="B55" s="192"/>
      <c r="C55" s="192"/>
      <c r="D55" s="192"/>
      <c r="E55" s="192"/>
      <c r="F55" s="192"/>
      <c r="G55" s="192"/>
      <c r="H55" s="192"/>
      <c r="I55" s="192"/>
      <c r="J55" s="192"/>
      <c r="K55" s="248">
        <f>K$24*ParâmeetrosTRU!K55</f>
        <v>56426.000000000007</v>
      </c>
      <c r="L55" s="248">
        <f>L$24*ParâmeetrosTRU!L55</f>
        <v>31030.000000000004</v>
      </c>
      <c r="M55" s="248">
        <f>M$24*ParâmeetrosTRU!M55</f>
        <v>431907.00000000017</v>
      </c>
      <c r="N55" s="248">
        <f>N$24*ParâmeetrosTRU!N55</f>
        <v>42340.000000000007</v>
      </c>
      <c r="O55" s="248">
        <f>O$24*ParâmeetrosTRU!O55</f>
        <v>110213.99999999997</v>
      </c>
      <c r="P55" s="248">
        <f>P$24*ParâmeetrosTRU!P55</f>
        <v>404268.00000000058</v>
      </c>
      <c r="Q55" s="248">
        <f>Q$24*ParâmeetrosTRU!Q55</f>
        <v>144416.00000000009</v>
      </c>
      <c r="R55" s="248">
        <f>R$24*ParâmeetrosTRU!R55</f>
        <v>106305.00000000007</v>
      </c>
      <c r="S55" s="248">
        <f>S$24*ParâmeetrosTRU!S55</f>
        <v>181285.00000000012</v>
      </c>
      <c r="T55" s="248">
        <f>T$24*ParâmeetrosTRU!T55</f>
        <v>9024.0000000000055</v>
      </c>
      <c r="U55" s="248">
        <f>U$24*ParâmeetrosTRU!U55</f>
        <v>646179.00000000047</v>
      </c>
      <c r="V55" s="248">
        <f>V$24*ParâmeetrosTRU!V55</f>
        <v>1028949</v>
      </c>
      <c r="W55" s="192">
        <f t="shared" si="5"/>
        <v>3192343.0000000014</v>
      </c>
      <c r="X55" s="192">
        <f t="shared" ref="X55:X70" si="6">I55+W55</f>
        <v>3192343.0000000014</v>
      </c>
      <c r="AA55" s="214" t="s">
        <v>526</v>
      </c>
      <c r="AB55" s="215"/>
      <c r="AC55" s="215"/>
      <c r="AD55" s="215"/>
      <c r="AE55" s="216"/>
      <c r="CL55" s="192">
        <v>186576</v>
      </c>
    </row>
    <row r="56" spans="1:90" s="54" customFormat="1" ht="10.15" customHeight="1">
      <c r="A56" s="187" t="s">
        <v>424</v>
      </c>
      <c r="B56" s="192"/>
      <c r="C56" s="192"/>
      <c r="D56" s="192"/>
      <c r="E56" s="192"/>
      <c r="F56" s="192"/>
      <c r="G56" s="192"/>
      <c r="H56" s="192"/>
      <c r="I56" s="192"/>
      <c r="J56" s="192"/>
      <c r="K56" s="248">
        <f>K$24*ParâmeetrosTRU!K56</f>
        <v>48460.000000000007</v>
      </c>
      <c r="L56" s="248">
        <f>L$24*ParâmeetrosTRU!L56</f>
        <v>23545</v>
      </c>
      <c r="M56" s="248">
        <f>M$24*ParâmeetrosTRU!M56</f>
        <v>342665.00000000017</v>
      </c>
      <c r="N56" s="248">
        <f>N$24*ParâmeetrosTRU!N56</f>
        <v>31380.000000000004</v>
      </c>
      <c r="O56" s="248">
        <f>O$24*ParâmeetrosTRU!O56</f>
        <v>90261.999999999985</v>
      </c>
      <c r="P56" s="248">
        <f>P$24*ParâmeetrosTRU!P56</f>
        <v>322109.00000000052</v>
      </c>
      <c r="Q56" s="248">
        <f>Q$24*ParâmeetrosTRU!Q56</f>
        <v>115820.00000000006</v>
      </c>
      <c r="R56" s="248">
        <f>R$24*ParâmeetrosTRU!R56</f>
        <v>84430.000000000058</v>
      </c>
      <c r="S56" s="248">
        <f>S$24*ParâmeetrosTRU!S56</f>
        <v>140274.00000000009</v>
      </c>
      <c r="T56" s="248">
        <f>T$24*ParâmeetrosTRU!T56</f>
        <v>7050.0000000000045</v>
      </c>
      <c r="U56" s="248">
        <f>U$24*ParâmeetrosTRU!U56</f>
        <v>545236.00000000035</v>
      </c>
      <c r="V56" s="248">
        <f>V$24*ParâmeetrosTRU!V56</f>
        <v>780730</v>
      </c>
      <c r="W56" s="192">
        <f>SUM(K56:V56)</f>
        <v>2531961.0000000009</v>
      </c>
      <c r="X56" s="192">
        <f t="shared" si="6"/>
        <v>2531961.0000000009</v>
      </c>
      <c r="AA56" s="217"/>
      <c r="AB56" s="215"/>
      <c r="AC56" s="215"/>
      <c r="AD56" s="215"/>
      <c r="AE56" s="218"/>
      <c r="CL56" s="192">
        <v>0</v>
      </c>
    </row>
    <row r="57" spans="1:90" s="54" customFormat="1" ht="10.15" customHeight="1">
      <c r="A57" s="187" t="s">
        <v>462</v>
      </c>
      <c r="B57" s="192"/>
      <c r="C57" s="192"/>
      <c r="D57" s="192"/>
      <c r="E57" s="192"/>
      <c r="F57" s="192"/>
      <c r="G57" s="192"/>
      <c r="H57" s="192"/>
      <c r="I57" s="192"/>
      <c r="J57" s="192"/>
      <c r="K57" s="248">
        <f>K$24*ParâmeetrosTRU!K57</f>
        <v>7966.0000000000009</v>
      </c>
      <c r="L57" s="248">
        <f>L$24*ParâmeetrosTRU!L57</f>
        <v>7485</v>
      </c>
      <c r="M57" s="248">
        <f>M$24*ParâmeetrosTRU!M57</f>
        <v>89242.000000000044</v>
      </c>
      <c r="N57" s="248">
        <f>N$24*ParâmeetrosTRU!N57</f>
        <v>10960</v>
      </c>
      <c r="O57" s="248">
        <f>O$24*ParâmeetrosTRU!O57</f>
        <v>19952</v>
      </c>
      <c r="P57" s="248">
        <f>P$24*ParâmeetrosTRU!P57</f>
        <v>82159.000000000116</v>
      </c>
      <c r="Q57" s="248">
        <f>Q$24*ParâmeetrosTRU!Q57</f>
        <v>28596.000000000018</v>
      </c>
      <c r="R57" s="248">
        <f>R$24*ParâmeetrosTRU!R57</f>
        <v>21875.000000000015</v>
      </c>
      <c r="S57" s="248">
        <f>S$24*ParâmeetrosTRU!S57</f>
        <v>41011.000000000029</v>
      </c>
      <c r="T57" s="248">
        <f>T$24*ParâmeetrosTRU!T57</f>
        <v>1974.0000000000014</v>
      </c>
      <c r="U57" s="248">
        <f>U$24*ParâmeetrosTRU!U57</f>
        <v>100943.00000000007</v>
      </c>
      <c r="V57" s="248">
        <f>V$24*ParâmeetrosTRU!V57</f>
        <v>150454</v>
      </c>
      <c r="W57" s="192">
        <f t="shared" si="5"/>
        <v>562617.00000000023</v>
      </c>
      <c r="X57" s="192">
        <f t="shared" si="6"/>
        <v>562617.00000000023</v>
      </c>
      <c r="AA57" s="214" t="s">
        <v>484</v>
      </c>
      <c r="AB57" s="215"/>
      <c r="AC57" s="215"/>
      <c r="AD57" s="215"/>
      <c r="AE57" s="216"/>
      <c r="CL57" s="192">
        <v>55912</v>
      </c>
    </row>
    <row r="58" spans="1:90" s="54" customFormat="1" ht="10.15" customHeight="1">
      <c r="A58" s="54" t="s">
        <v>463</v>
      </c>
      <c r="B58" s="192"/>
      <c r="C58" s="192"/>
      <c r="D58" s="192"/>
      <c r="E58" s="192"/>
      <c r="F58" s="192"/>
      <c r="G58" s="192"/>
      <c r="H58" s="192"/>
      <c r="I58" s="192"/>
      <c r="J58" s="192"/>
      <c r="K58" s="248">
        <f>K$24*ParâmeetrosTRU!K58</f>
        <v>7966.0000000000009</v>
      </c>
      <c r="L58" s="248">
        <f>L$24*ParâmeetrosTRU!L58</f>
        <v>6442.0000000000009</v>
      </c>
      <c r="M58" s="248">
        <f>M$24*ParâmeetrosTRU!M58</f>
        <v>85542.000000000044</v>
      </c>
      <c r="N58" s="248">
        <f>N$24*ParâmeetrosTRU!N58</f>
        <v>9203.0000000000018</v>
      </c>
      <c r="O58" s="248">
        <f>O$24*ParâmeetrosTRU!O58</f>
        <v>19641.999999999996</v>
      </c>
      <c r="P58" s="248">
        <f>P$24*ParâmeetrosTRU!P58</f>
        <v>81427.000000000116</v>
      </c>
      <c r="Q58" s="248">
        <f>Q$24*ParâmeetrosTRU!Q58</f>
        <v>27010.000000000015</v>
      </c>
      <c r="R58" s="248">
        <f>R$24*ParâmeetrosTRU!R58</f>
        <v>20152.000000000015</v>
      </c>
      <c r="S58" s="248">
        <f>S$24*ParâmeetrosTRU!S58</f>
        <v>34959.000000000022</v>
      </c>
      <c r="T58" s="248">
        <f>T$24*ParâmeetrosTRU!T58</f>
        <v>1927.0000000000011</v>
      </c>
      <c r="U58" s="248">
        <f>U$24*ParâmeetrosTRU!U58</f>
        <v>99114.000000000058</v>
      </c>
      <c r="V58" s="248">
        <f>V$24*ParâmeetrosTRU!V58</f>
        <v>147997</v>
      </c>
      <c r="W58" s="192">
        <f t="shared" si="5"/>
        <v>541381.00000000023</v>
      </c>
      <c r="X58" s="192">
        <f t="shared" si="6"/>
        <v>541381.00000000023</v>
      </c>
      <c r="AA58" s="219"/>
      <c r="AB58" s="376" t="s">
        <v>527</v>
      </c>
      <c r="AC58" s="378" t="s">
        <v>528</v>
      </c>
      <c r="AD58" s="380" t="s">
        <v>529</v>
      </c>
      <c r="AE58" s="220"/>
      <c r="CL58" s="192">
        <v>109783</v>
      </c>
    </row>
    <row r="59" spans="1:90" s="54" customFormat="1" ht="10.15" customHeight="1">
      <c r="A59" s="187" t="s">
        <v>464</v>
      </c>
      <c r="B59" s="192"/>
      <c r="C59" s="192"/>
      <c r="D59" s="192"/>
      <c r="E59" s="192"/>
      <c r="F59" s="192"/>
      <c r="G59" s="192"/>
      <c r="H59" s="192"/>
      <c r="I59" s="192"/>
      <c r="J59" s="192"/>
      <c r="K59" s="248">
        <f>K$24*ParâmeetrosTRU!K59</f>
        <v>0</v>
      </c>
      <c r="L59" s="248">
        <f>L$24*ParâmeetrosTRU!L59</f>
        <v>1043.0000000000002</v>
      </c>
      <c r="M59" s="248">
        <f>M$24*ParâmeetrosTRU!M59</f>
        <v>3700.0000000000014</v>
      </c>
      <c r="N59" s="248">
        <f>N$24*ParâmeetrosTRU!N59</f>
        <v>1757.0000000000002</v>
      </c>
      <c r="O59" s="248">
        <f>O$24*ParâmeetrosTRU!O59</f>
        <v>309.99999999999989</v>
      </c>
      <c r="P59" s="248">
        <f>P$24*ParâmeetrosTRU!P59</f>
        <v>732.00000000000102</v>
      </c>
      <c r="Q59" s="248">
        <f>Q$24*ParâmeetrosTRU!Q59</f>
        <v>1586.0000000000009</v>
      </c>
      <c r="R59" s="248">
        <f>R$24*ParâmeetrosTRU!R59</f>
        <v>1723.0000000000011</v>
      </c>
      <c r="S59" s="248">
        <f>S$24*ParâmeetrosTRU!S59</f>
        <v>6052.0000000000036</v>
      </c>
      <c r="T59" s="248">
        <f>T$24*ParâmeetrosTRU!T59</f>
        <v>47.000000000000036</v>
      </c>
      <c r="U59" s="248">
        <f>U$24*ParâmeetrosTRU!U59</f>
        <v>1829.0000000000011</v>
      </c>
      <c r="V59" s="248">
        <f>V$24*ParâmeetrosTRU!V59</f>
        <v>2457</v>
      </c>
      <c r="W59" s="192">
        <f t="shared" si="5"/>
        <v>21236.000000000007</v>
      </c>
      <c r="X59" s="192">
        <f t="shared" si="6"/>
        <v>21236.000000000007</v>
      </c>
      <c r="AA59" s="219"/>
      <c r="AB59" s="377"/>
      <c r="AC59" s="379"/>
      <c r="AD59" s="381"/>
      <c r="AE59" s="220"/>
      <c r="CL59" s="192">
        <v>152610</v>
      </c>
    </row>
    <row r="60" spans="1:90" s="54" customFormat="1" ht="10.15" customHeight="1">
      <c r="A60" s="187" t="s">
        <v>465</v>
      </c>
      <c r="B60" s="192"/>
      <c r="C60" s="192"/>
      <c r="D60" s="192"/>
      <c r="E60" s="192"/>
      <c r="F60" s="192"/>
      <c r="G60" s="192"/>
      <c r="H60" s="192"/>
      <c r="I60" s="192"/>
      <c r="J60" s="192"/>
      <c r="K60" s="248">
        <f>K$24*ParâmeetrosTRU!K60</f>
        <v>0</v>
      </c>
      <c r="L60" s="248">
        <f>L$24*ParâmeetrosTRU!L60</f>
        <v>0</v>
      </c>
      <c r="M60" s="248">
        <f>M$24*ParâmeetrosTRU!M60</f>
        <v>0</v>
      </c>
      <c r="N60" s="248">
        <f>N$24*ParâmeetrosTRU!N60</f>
        <v>0</v>
      </c>
      <c r="O60" s="248">
        <f>O$24*ParâmeetrosTRU!O60</f>
        <v>0</v>
      </c>
      <c r="P60" s="248">
        <f>P$24*ParâmeetrosTRU!P60</f>
        <v>0</v>
      </c>
      <c r="Q60" s="248">
        <f>Q$24*ParâmeetrosTRU!Q60</f>
        <v>0</v>
      </c>
      <c r="R60" s="248">
        <f>R$24*ParâmeetrosTRU!R60</f>
        <v>0</v>
      </c>
      <c r="S60" s="248">
        <f>S$24*ParâmeetrosTRU!S60</f>
        <v>0</v>
      </c>
      <c r="T60" s="248">
        <f>T$24*ParâmeetrosTRU!T60</f>
        <v>0</v>
      </c>
      <c r="U60" s="248">
        <f>U$24*ParâmeetrosTRU!U60</f>
        <v>0</v>
      </c>
      <c r="V60" s="248">
        <f>V$24*ParâmeetrosTRU!V60</f>
        <v>97765</v>
      </c>
      <c r="W60" s="192">
        <f t="shared" si="5"/>
        <v>97765</v>
      </c>
      <c r="X60" s="192">
        <f t="shared" si="6"/>
        <v>97765</v>
      </c>
      <c r="AA60" s="219"/>
      <c r="AB60" s="188"/>
      <c r="AC60" s="188"/>
      <c r="AD60" s="188"/>
      <c r="AE60" s="218"/>
      <c r="CL60" s="192">
        <v>379659</v>
      </c>
    </row>
    <row r="61" spans="1:90" s="54" customFormat="1" ht="10.15" customHeight="1">
      <c r="A61" s="54" t="s">
        <v>466</v>
      </c>
      <c r="B61" s="192"/>
      <c r="C61" s="192"/>
      <c r="D61" s="192"/>
      <c r="E61" s="192"/>
      <c r="F61" s="192"/>
      <c r="G61" s="192"/>
      <c r="H61" s="192"/>
      <c r="I61" s="192"/>
      <c r="J61" s="192"/>
      <c r="K61" s="248">
        <f>K$24*ParâmeetrosTRU!K61</f>
        <v>380742.00000000006</v>
      </c>
      <c r="L61" s="248">
        <f>L$24*ParâmeetrosTRU!L61</f>
        <v>159960.00000000003</v>
      </c>
      <c r="M61" s="248">
        <f>M$24*ParâmeetrosTRU!M61</f>
        <v>353922.00000000017</v>
      </c>
      <c r="N61" s="248">
        <f>N$24*ParâmeetrosTRU!N61</f>
        <v>162640.00000000003</v>
      </c>
      <c r="O61" s="248">
        <f>O$24*ParâmeetrosTRU!O61</f>
        <v>154408.99999999997</v>
      </c>
      <c r="P61" s="248">
        <f>P$24*ParâmeetrosTRU!P61</f>
        <v>408143.00000000064</v>
      </c>
      <c r="Q61" s="248">
        <f>Q$24*ParâmeetrosTRU!Q61</f>
        <v>123266.00000000006</v>
      </c>
      <c r="R61" s="248">
        <f>R$24*ParâmeetrosTRU!R61</f>
        <v>125590.00000000009</v>
      </c>
      <c r="S61" s="248">
        <f>S$24*ParâmeetrosTRU!S61</f>
        <v>264003.00000000017</v>
      </c>
      <c r="T61" s="248">
        <f>T$24*ParâmeetrosTRU!T61</f>
        <v>646363.00000000047</v>
      </c>
      <c r="U61" s="248">
        <f>U$24*ParâmeetrosTRU!U61</f>
        <v>419492.00000000029</v>
      </c>
      <c r="V61" s="248">
        <f>V$24*ParâmeetrosTRU!V61</f>
        <v>117672.99999999999</v>
      </c>
      <c r="W61" s="192">
        <f t="shared" si="5"/>
        <v>3316203.0000000019</v>
      </c>
      <c r="X61" s="192">
        <f t="shared" si="6"/>
        <v>3316203.0000000019</v>
      </c>
      <c r="AA61" s="214" t="s">
        <v>511</v>
      </c>
      <c r="AB61" s="215"/>
      <c r="AC61" s="215"/>
      <c r="AD61" s="215"/>
      <c r="AE61" s="216"/>
      <c r="CL61" s="192">
        <v>643203</v>
      </c>
    </row>
    <row r="62" spans="1:90" s="54" customFormat="1" ht="10.15" customHeight="1">
      <c r="A62" s="187" t="s">
        <v>467</v>
      </c>
      <c r="B62" s="192"/>
      <c r="C62" s="192"/>
      <c r="D62" s="192"/>
      <c r="E62" s="192"/>
      <c r="F62" s="192"/>
      <c r="G62" s="192"/>
      <c r="H62" s="192"/>
      <c r="I62" s="192"/>
      <c r="J62" s="192"/>
      <c r="K62" s="248">
        <f>K$24*ParâmeetrosTRU!K62</f>
        <v>203321.00000000006</v>
      </c>
      <c r="L62" s="248">
        <f>L$24*ParâmeetrosTRU!L62</f>
        <v>246.00000000000003</v>
      </c>
      <c r="M62" s="248">
        <f>M$24*ParâmeetrosTRU!M62</f>
        <v>26998.000000000011</v>
      </c>
      <c r="N62" s="248">
        <f>N$24*ParâmeetrosTRU!N62</f>
        <v>1342.0000000000002</v>
      </c>
      <c r="O62" s="248">
        <f>O$24*ParâmeetrosTRU!O62</f>
        <v>65863.999999999985</v>
      </c>
      <c r="P62" s="248">
        <f>P$24*ParâmeetrosTRU!P62</f>
        <v>82745.000000000131</v>
      </c>
      <c r="Q62" s="248">
        <f>Q$24*ParâmeetrosTRU!Q62</f>
        <v>29289.000000000018</v>
      </c>
      <c r="R62" s="248">
        <f>R$24*ParâmeetrosTRU!R62</f>
        <v>11697.000000000007</v>
      </c>
      <c r="S62" s="248">
        <f>S$24*ParâmeetrosTRU!S62</f>
        <v>3241.0000000000018</v>
      </c>
      <c r="T62" s="248">
        <f>T$24*ParâmeetrosTRU!T62</f>
        <v>4446.0000000000027</v>
      </c>
      <c r="U62" s="248">
        <f>U$24*ParâmeetrosTRU!U62</f>
        <v>204175.00000000015</v>
      </c>
      <c r="V62" s="248">
        <f>V$24*ParâmeetrosTRU!V62</f>
        <v>0</v>
      </c>
      <c r="W62" s="192">
        <f t="shared" si="5"/>
        <v>633364.00000000035</v>
      </c>
      <c r="X62" s="192">
        <f t="shared" si="6"/>
        <v>633364.00000000035</v>
      </c>
      <c r="AA62" s="221"/>
      <c r="AB62" s="376" t="s">
        <v>530</v>
      </c>
      <c r="AC62" s="382" t="s">
        <v>531</v>
      </c>
      <c r="AD62" s="368" t="s">
        <v>532</v>
      </c>
      <c r="AE62" s="218"/>
      <c r="CL62" s="192">
        <v>915862</v>
      </c>
    </row>
    <row r="63" spans="1:90" s="54" customFormat="1" ht="10.15" customHeight="1">
      <c r="A63" s="187" t="s">
        <v>468</v>
      </c>
      <c r="B63" s="192"/>
      <c r="C63" s="192"/>
      <c r="D63" s="192"/>
      <c r="E63" s="192"/>
      <c r="F63" s="192"/>
      <c r="G63" s="192"/>
      <c r="H63" s="192"/>
      <c r="I63" s="192"/>
      <c r="J63" s="192"/>
      <c r="K63" s="248">
        <f>K$24*ParâmeetrosTRU!K63</f>
        <v>177421.00000000003</v>
      </c>
      <c r="L63" s="248">
        <f>L$24*ParâmeetrosTRU!L63</f>
        <v>159714.00000000003</v>
      </c>
      <c r="M63" s="248">
        <f>M$24*ParâmeetrosTRU!M63</f>
        <v>326924.00000000012</v>
      </c>
      <c r="N63" s="248">
        <f>N$24*ParâmeetrosTRU!N63</f>
        <v>161298.00000000003</v>
      </c>
      <c r="O63" s="248">
        <f>O$24*ParâmeetrosTRU!O63</f>
        <v>88544.999999999985</v>
      </c>
      <c r="P63" s="248">
        <f>P$24*ParâmeetrosTRU!P63</f>
        <v>325398.00000000047</v>
      </c>
      <c r="Q63" s="248">
        <f>Q$24*ParâmeetrosTRU!Q63</f>
        <v>93977.000000000044</v>
      </c>
      <c r="R63" s="248">
        <f>R$24*ParâmeetrosTRU!R63</f>
        <v>113893.00000000007</v>
      </c>
      <c r="S63" s="248">
        <f>S$24*ParâmeetrosTRU!S63</f>
        <v>260762.00000000017</v>
      </c>
      <c r="T63" s="248">
        <f>T$24*ParâmeetrosTRU!T63</f>
        <v>641917.00000000047</v>
      </c>
      <c r="U63" s="248">
        <f>U$24*ParâmeetrosTRU!U63</f>
        <v>215317.00000000012</v>
      </c>
      <c r="V63" s="248">
        <f>V$24*ParâmeetrosTRU!V63</f>
        <v>117672.99999999999</v>
      </c>
      <c r="W63" s="192">
        <f t="shared" si="5"/>
        <v>2682839.0000000014</v>
      </c>
      <c r="X63" s="192">
        <f t="shared" si="6"/>
        <v>2682839.0000000014</v>
      </c>
      <c r="AA63" s="219"/>
      <c r="AB63" s="376"/>
      <c r="AC63" s="382"/>
      <c r="AD63" s="368"/>
      <c r="AE63" s="218"/>
      <c r="CL63" s="192">
        <v>0</v>
      </c>
    </row>
    <row r="64" spans="1:90" s="54" customFormat="1" ht="10.15" customHeight="1">
      <c r="A64" s="187" t="s">
        <v>533</v>
      </c>
      <c r="B64" s="192"/>
      <c r="C64" s="192"/>
      <c r="D64" s="192"/>
      <c r="E64" s="192"/>
      <c r="F64" s="192"/>
      <c r="G64" s="192"/>
      <c r="H64" s="192"/>
      <c r="I64" s="192">
        <f>I65+I66</f>
        <v>1014660</v>
      </c>
      <c r="J64" s="192"/>
      <c r="K64" s="248">
        <f>K$24*ParâmeetrosTRU!K64</f>
        <v>-2547.0000000000005</v>
      </c>
      <c r="L64" s="248">
        <f>L$24*ParâmeetrosTRU!L64</f>
        <v>2625</v>
      </c>
      <c r="M64" s="248">
        <f>M$24*ParâmeetrosTRU!M64</f>
        <v>27860.000000000015</v>
      </c>
      <c r="N64" s="248">
        <f>N$24*ParâmeetrosTRU!N64</f>
        <v>4132.0000000000009</v>
      </c>
      <c r="O64" s="248">
        <f>O$24*ParâmeetrosTRU!O64</f>
        <v>3297.9999999999991</v>
      </c>
      <c r="P64" s="248">
        <f>P$24*ParâmeetrosTRU!P64</f>
        <v>12935.00000000002</v>
      </c>
      <c r="Q64" s="248">
        <f>Q$24*ParâmeetrosTRU!Q64</f>
        <v>5557.0000000000027</v>
      </c>
      <c r="R64" s="248">
        <f>R$24*ParâmeetrosTRU!R64</f>
        <v>5679.0000000000036</v>
      </c>
      <c r="S64" s="248">
        <f>S$24*ParâmeetrosTRU!S64</f>
        <v>9262.0000000000073</v>
      </c>
      <c r="T64" s="248">
        <f>T$24*ParâmeetrosTRU!T64</f>
        <v>626.00000000000045</v>
      </c>
      <c r="U64" s="248">
        <f>U$24*ParâmeetrosTRU!U64</f>
        <v>16686.000000000011</v>
      </c>
      <c r="V64" s="248">
        <f>V$24*ParâmeetrosTRU!V64</f>
        <v>278</v>
      </c>
      <c r="W64" s="192">
        <f t="shared" si="5"/>
        <v>86391.000000000073</v>
      </c>
      <c r="X64" s="192">
        <f>I64+W64</f>
        <v>1101051</v>
      </c>
      <c r="AA64" s="219"/>
      <c r="AB64" s="376"/>
      <c r="AC64" s="382"/>
      <c r="AD64" s="368"/>
      <c r="AE64" s="218"/>
      <c r="CL64" s="192">
        <v>4805004</v>
      </c>
    </row>
    <row r="65" spans="1:31" s="54" customFormat="1" ht="10.15" customHeight="1">
      <c r="A65" s="187" t="s">
        <v>534</v>
      </c>
      <c r="B65" s="192"/>
      <c r="C65" s="192"/>
      <c r="D65" s="192"/>
      <c r="E65" s="192"/>
      <c r="F65" s="192"/>
      <c r="G65" s="192"/>
      <c r="H65" s="192"/>
      <c r="I65" s="192">
        <v>1020210</v>
      </c>
      <c r="J65" s="192"/>
      <c r="K65" s="248">
        <f>K$24*ParâmeetrosTRU!K65</f>
        <v>0</v>
      </c>
      <c r="L65" s="248">
        <f>L$24*ParâmeetrosTRU!L65</f>
        <v>0</v>
      </c>
      <c r="M65" s="248">
        <f>M$24*ParâmeetrosTRU!M65</f>
        <v>0</v>
      </c>
      <c r="N65" s="248">
        <f>N$24*ParâmeetrosTRU!N65</f>
        <v>0</v>
      </c>
      <c r="O65" s="248">
        <f>O$24*ParâmeetrosTRU!O65</f>
        <v>0</v>
      </c>
      <c r="P65" s="248">
        <f>P$24*ParâmeetrosTRU!P65</f>
        <v>0</v>
      </c>
      <c r="Q65" s="248">
        <f>Q$24*ParâmeetrosTRU!Q65</f>
        <v>0</v>
      </c>
      <c r="R65" s="248">
        <f>R$24*ParâmeetrosTRU!R65</f>
        <v>0</v>
      </c>
      <c r="S65" s="248">
        <f>S$24*ParâmeetrosTRU!S65</f>
        <v>0</v>
      </c>
      <c r="T65" s="248">
        <f>T$24*ParâmeetrosTRU!T65</f>
        <v>0</v>
      </c>
      <c r="U65" s="248">
        <f>U$24*ParâmeetrosTRU!U65</f>
        <v>0</v>
      </c>
      <c r="V65" s="248">
        <f>V$24*ParâmeetrosTRU!V65</f>
        <v>0</v>
      </c>
      <c r="W65" s="192">
        <f t="shared" si="5"/>
        <v>0</v>
      </c>
      <c r="X65" s="192">
        <f t="shared" si="6"/>
        <v>1020210</v>
      </c>
      <c r="AA65" s="219"/>
      <c r="AB65" s="376"/>
      <c r="AC65" s="382"/>
      <c r="AD65" s="368"/>
      <c r="AE65" s="218"/>
    </row>
    <row r="66" spans="1:31" s="54" customFormat="1" ht="10.15" customHeight="1">
      <c r="A66" s="187" t="s">
        <v>535</v>
      </c>
      <c r="B66" s="192"/>
      <c r="C66" s="192"/>
      <c r="D66" s="192"/>
      <c r="E66" s="192"/>
      <c r="F66" s="192"/>
      <c r="G66" s="192"/>
      <c r="H66" s="192"/>
      <c r="I66" s="192">
        <v>-5550</v>
      </c>
      <c r="J66" s="192"/>
      <c r="K66" s="248">
        <f>K$24*ParâmeetrosTRU!K66</f>
        <v>0</v>
      </c>
      <c r="L66" s="248">
        <f>L$24*ParâmeetrosTRU!L66</f>
        <v>0</v>
      </c>
      <c r="M66" s="248">
        <f>M$24*ParâmeetrosTRU!M66</f>
        <v>0</v>
      </c>
      <c r="N66" s="248">
        <f>N$24*ParâmeetrosTRU!N66</f>
        <v>0</v>
      </c>
      <c r="O66" s="248">
        <f>O$24*ParâmeetrosTRU!O66</f>
        <v>0</v>
      </c>
      <c r="P66" s="248">
        <f>P$24*ParâmeetrosTRU!P66</f>
        <v>0</v>
      </c>
      <c r="Q66" s="248">
        <f>Q$24*ParâmeetrosTRU!Q66</f>
        <v>0</v>
      </c>
      <c r="R66" s="248">
        <f>R$24*ParâmeetrosTRU!R66</f>
        <v>0</v>
      </c>
      <c r="S66" s="248">
        <f>S$24*ParâmeetrosTRU!S66</f>
        <v>0</v>
      </c>
      <c r="T66" s="248">
        <f>T$24*ParâmeetrosTRU!T66</f>
        <v>0</v>
      </c>
      <c r="U66" s="248">
        <f>U$24*ParâmeetrosTRU!U66</f>
        <v>0</v>
      </c>
      <c r="V66" s="248">
        <f>V$24*ParâmeetrosTRU!V66</f>
        <v>0</v>
      </c>
      <c r="W66" s="192">
        <f t="shared" si="5"/>
        <v>0</v>
      </c>
      <c r="X66" s="192">
        <f t="shared" si="6"/>
        <v>-5550</v>
      </c>
      <c r="AA66" s="219"/>
      <c r="AB66" s="188"/>
      <c r="AC66" s="188"/>
      <c r="AD66" s="188"/>
      <c r="AE66" s="218"/>
    </row>
    <row r="67" spans="1:31" s="54" customFormat="1" ht="10.15" customHeight="1">
      <c r="A67" s="187" t="s">
        <v>536</v>
      </c>
      <c r="B67" s="192"/>
      <c r="C67" s="192"/>
      <c r="D67" s="192"/>
      <c r="E67" s="192"/>
      <c r="F67" s="192"/>
      <c r="G67" s="192"/>
      <c r="H67" s="192"/>
      <c r="I67" s="192"/>
      <c r="J67" s="192"/>
      <c r="K67" s="248">
        <f>K$24*ParâmeetrosTRU!K67</f>
        <v>3036.0000000000005</v>
      </c>
      <c r="L67" s="248">
        <f>L$24*ParâmeetrosTRU!L67</f>
        <v>2656.0000000000005</v>
      </c>
      <c r="M67" s="248">
        <f>M$24*ParâmeetrosTRU!M67</f>
        <v>28537.000000000015</v>
      </c>
      <c r="N67" s="248">
        <f>N$24*ParâmeetrosTRU!N67</f>
        <v>4186.0000000000009</v>
      </c>
      <c r="O67" s="248">
        <f>O$24*ParâmeetrosTRU!O67</f>
        <v>3428.9999999999991</v>
      </c>
      <c r="P67" s="248">
        <f>P$24*ParâmeetrosTRU!P67</f>
        <v>13168.00000000002</v>
      </c>
      <c r="Q67" s="248">
        <f>Q$24*ParâmeetrosTRU!Q67</f>
        <v>6169.0000000000036</v>
      </c>
      <c r="R67" s="248">
        <f>R$24*ParâmeetrosTRU!R67</f>
        <v>5702.0000000000036</v>
      </c>
      <c r="S67" s="248">
        <f>S$24*ParâmeetrosTRU!S67</f>
        <v>9262.0000000000073</v>
      </c>
      <c r="T67" s="248">
        <f>T$24*ParâmeetrosTRU!T67</f>
        <v>626.00000000000045</v>
      </c>
      <c r="U67" s="248">
        <f>U$24*ParâmeetrosTRU!U67</f>
        <v>17439.000000000011</v>
      </c>
      <c r="V67" s="248">
        <f>V$24*ParâmeetrosTRU!V67</f>
        <v>278</v>
      </c>
      <c r="W67" s="192">
        <f t="shared" si="5"/>
        <v>94488.000000000073</v>
      </c>
      <c r="X67" s="192">
        <f t="shared" si="6"/>
        <v>94488.000000000073</v>
      </c>
      <c r="AA67" s="219"/>
      <c r="AB67" s="369" t="s">
        <v>537</v>
      </c>
      <c r="AC67" s="370"/>
      <c r="AD67" s="188"/>
      <c r="AE67" s="218"/>
    </row>
    <row r="68" spans="1:31" s="54" customFormat="1" ht="10.15" customHeight="1">
      <c r="A68" s="187" t="s">
        <v>538</v>
      </c>
      <c r="B68" s="192"/>
      <c r="C68" s="192"/>
      <c r="D68" s="192"/>
      <c r="E68" s="192"/>
      <c r="F68" s="192"/>
      <c r="G68" s="192"/>
      <c r="H68" s="192"/>
      <c r="I68" s="192"/>
      <c r="J68" s="192"/>
      <c r="K68" s="248">
        <f>K$24*ParâmeetrosTRU!K68</f>
        <v>-5583.0000000000009</v>
      </c>
      <c r="L68" s="248">
        <f>L$24*ParâmeetrosTRU!L68</f>
        <v>-31</v>
      </c>
      <c r="M68" s="248">
        <f>M$24*ParâmeetrosTRU!M68</f>
        <v>-677.00000000000034</v>
      </c>
      <c r="N68" s="248">
        <f>N$24*ParâmeetrosTRU!N68</f>
        <v>-54.000000000000007</v>
      </c>
      <c r="O68" s="248">
        <f>O$24*ParâmeetrosTRU!O68</f>
        <v>-130.99999999999997</v>
      </c>
      <c r="P68" s="248">
        <f>P$24*ParâmeetrosTRU!P68</f>
        <v>-233.00000000000037</v>
      </c>
      <c r="Q68" s="248">
        <f>Q$24*ParâmeetrosTRU!Q68</f>
        <v>-612.00000000000034</v>
      </c>
      <c r="R68" s="248">
        <f>R$24*ParâmeetrosTRU!R68</f>
        <v>-23.000000000000014</v>
      </c>
      <c r="S68" s="248">
        <f>S$24*ParâmeetrosTRU!S68</f>
        <v>0</v>
      </c>
      <c r="T68" s="248">
        <f>T$24*ParâmeetrosTRU!T68</f>
        <v>0</v>
      </c>
      <c r="U68" s="248">
        <f>U$24*ParâmeetrosTRU!U68</f>
        <v>-753.00000000000045</v>
      </c>
      <c r="V68" s="248">
        <f>V$24*ParâmeetrosTRU!V68</f>
        <v>0</v>
      </c>
      <c r="W68" s="192">
        <f t="shared" si="5"/>
        <v>-8097.0000000000018</v>
      </c>
      <c r="X68" s="192">
        <f t="shared" si="6"/>
        <v>-8097.0000000000018</v>
      </c>
      <c r="AA68" s="219"/>
      <c r="AB68" s="370"/>
      <c r="AC68" s="370"/>
      <c r="AE68" s="218"/>
    </row>
    <row r="69" spans="1:31" s="54" customFormat="1" ht="10.15" customHeight="1">
      <c r="A69" s="187" t="s">
        <v>469</v>
      </c>
      <c r="B69" s="192"/>
      <c r="C69" s="192"/>
      <c r="D69" s="192"/>
      <c r="E69" s="192"/>
      <c r="F69" s="192"/>
      <c r="G69" s="192"/>
      <c r="H69" s="192"/>
      <c r="I69" s="192"/>
      <c r="J69" s="192"/>
      <c r="K69" s="248">
        <f>K$24*ParâmeetrosTRU!K69</f>
        <v>795761.00000000012</v>
      </c>
      <c r="L69" s="248">
        <f>L$24*ParâmeetrosTRU!L69</f>
        <v>442031.00000000006</v>
      </c>
      <c r="M69" s="248">
        <f>M$24*ParâmeetrosTRU!M69</f>
        <v>3769376.0000000019</v>
      </c>
      <c r="N69" s="248">
        <f>N$24*ParâmeetrosTRU!N69</f>
        <v>454741.00000000006</v>
      </c>
      <c r="O69" s="248">
        <f>O$24*ParâmeetrosTRU!O69</f>
        <v>612500.99999999988</v>
      </c>
      <c r="P69" s="248">
        <f>P$24*ParâmeetrosTRU!P69</f>
        <v>1404551.0000000021</v>
      </c>
      <c r="Q69" s="248">
        <f>Q$24*ParâmeetrosTRU!Q69</f>
        <v>628901.00000000035</v>
      </c>
      <c r="R69" s="248">
        <f>R$24*ParâmeetrosTRU!R69</f>
        <v>435648.00000000029</v>
      </c>
      <c r="S69" s="248">
        <f>S$24*ParâmeetrosTRU!S69</f>
        <v>700903.00000000047</v>
      </c>
      <c r="T69" s="248">
        <f>T$24*ParâmeetrosTRU!T69</f>
        <v>711631.00000000047</v>
      </c>
      <c r="U69" s="248">
        <f>U$24*ParâmeetrosTRU!U69</f>
        <v>1813025.0000000012</v>
      </c>
      <c r="V69" s="248">
        <f>V$24*ParâmeetrosTRU!V69</f>
        <v>1537130</v>
      </c>
      <c r="W69" s="192">
        <f t="shared" si="5"/>
        <v>13306199.000000006</v>
      </c>
      <c r="X69" s="192">
        <f t="shared" si="6"/>
        <v>13306199.000000006</v>
      </c>
      <c r="AA69" s="219"/>
      <c r="AB69" s="370"/>
      <c r="AC69" s="370"/>
      <c r="AE69" s="218"/>
    </row>
    <row r="70" spans="1:31" s="54" customFormat="1" ht="10.15" customHeight="1" thickBot="1">
      <c r="A70" s="54" t="s">
        <v>470</v>
      </c>
      <c r="B70" s="192"/>
      <c r="C70" s="192"/>
      <c r="D70" s="192"/>
      <c r="E70" s="192"/>
      <c r="F70" s="192"/>
      <c r="G70" s="192"/>
      <c r="H70" s="192"/>
      <c r="I70" s="192"/>
      <c r="J70" s="192"/>
      <c r="K70" s="192">
        <v>12560399</v>
      </c>
      <c r="L70" s="192">
        <v>212274</v>
      </c>
      <c r="M70" s="192">
        <v>10560359</v>
      </c>
      <c r="N70" s="192">
        <v>742087</v>
      </c>
      <c r="O70" s="192">
        <v>7047825</v>
      </c>
      <c r="P70" s="192">
        <v>17613390</v>
      </c>
      <c r="Q70" s="192">
        <v>4932125</v>
      </c>
      <c r="R70" s="192">
        <v>1405295</v>
      </c>
      <c r="S70" s="192">
        <v>1410816</v>
      </c>
      <c r="T70" s="192">
        <v>502337</v>
      </c>
      <c r="U70" s="192">
        <v>30453062</v>
      </c>
      <c r="V70" s="192">
        <v>11814707</v>
      </c>
      <c r="W70" s="192">
        <f t="shared" si="5"/>
        <v>99254676</v>
      </c>
      <c r="X70" s="192">
        <f t="shared" si="6"/>
        <v>99254676</v>
      </c>
      <c r="AA70" s="222"/>
      <c r="AB70" s="223"/>
      <c r="AC70" s="223"/>
      <c r="AD70" s="224"/>
      <c r="AE70" s="225"/>
    </row>
    <row r="71" spans="1:31" s="54" customFormat="1" ht="6" customHeight="1" thickTop="1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8"/>
    </row>
    <row r="72" spans="1:31" s="54" customFormat="1" ht="15" customHeight="1">
      <c r="A72" s="54" t="s">
        <v>106</v>
      </c>
      <c r="K72" s="54">
        <f t="array" ref="K72:W72">TRANSPOSE(Original!B39:B51)</f>
        <v>938989</v>
      </c>
      <c r="L72" s="54">
        <v>474641</v>
      </c>
      <c r="M72" s="54">
        <v>6468662</v>
      </c>
      <c r="N72" s="54">
        <v>532996</v>
      </c>
      <c r="O72" s="54">
        <v>683264</v>
      </c>
      <c r="P72" s="54">
        <v>140737</v>
      </c>
      <c r="Q72" s="54">
        <v>568288</v>
      </c>
      <c r="R72" s="54">
        <v>535541</v>
      </c>
      <c r="S72" s="54">
        <v>800076</v>
      </c>
      <c r="T72" s="229">
        <v>793035</v>
      </c>
      <c r="U72" s="229">
        <v>2125358</v>
      </c>
      <c r="V72" s="229">
        <v>1465281</v>
      </c>
      <c r="W72" s="229">
        <v>15526868</v>
      </c>
      <c r="X72" s="229"/>
      <c r="AA72" s="197"/>
      <c r="AB72" s="197"/>
      <c r="AC72" s="197"/>
      <c r="AD72" s="197"/>
      <c r="AE72" s="197"/>
    </row>
    <row r="73" spans="1:31" ht="15" customHeight="1">
      <c r="A73" s="54" t="s">
        <v>539</v>
      </c>
    </row>
  </sheetData>
  <mergeCells count="89">
    <mergeCell ref="AB62:AB65"/>
    <mergeCell ref="AC62:AC65"/>
    <mergeCell ref="AD62:AD65"/>
    <mergeCell ref="AB67:AC69"/>
    <mergeCell ref="BQ34:BQ37"/>
    <mergeCell ref="BI34:BI37"/>
    <mergeCell ref="BJ34:BJ37"/>
    <mergeCell ref="AK34:AK37"/>
    <mergeCell ref="AL34:AL37"/>
    <mergeCell ref="AM34:AM37"/>
    <mergeCell ref="AN34:AN37"/>
    <mergeCell ref="AO34:AO37"/>
    <mergeCell ref="AP34:AP37"/>
    <mergeCell ref="AC34:AC37"/>
    <mergeCell ref="AD34:AD37"/>
    <mergeCell ref="AE34:AE37"/>
    <mergeCell ref="BR34:BR37"/>
    <mergeCell ref="BS34:BS37"/>
    <mergeCell ref="A52:W52"/>
    <mergeCell ref="AB58:AB59"/>
    <mergeCell ref="AC58:AC59"/>
    <mergeCell ref="AD58:AD59"/>
    <mergeCell ref="BK34:BK37"/>
    <mergeCell ref="BL34:BL37"/>
    <mergeCell ref="BM34:BM37"/>
    <mergeCell ref="BN34:BN37"/>
    <mergeCell ref="BO34:BO37"/>
    <mergeCell ref="BP34:BP37"/>
    <mergeCell ref="AQ34:AQ37"/>
    <mergeCell ref="AR34:AR37"/>
    <mergeCell ref="AS34:AS37"/>
    <mergeCell ref="BH34:BH37"/>
    <mergeCell ref="AH34:AH37"/>
    <mergeCell ref="AI34:AI37"/>
    <mergeCell ref="AJ34:AJ37"/>
    <mergeCell ref="V34:V37"/>
    <mergeCell ref="W34:W37"/>
    <mergeCell ref="Y34:Y37"/>
    <mergeCell ref="Z34:Z37"/>
    <mergeCell ref="AA34:AA37"/>
    <mergeCell ref="AB34:AB37"/>
    <mergeCell ref="AF33:AF37"/>
    <mergeCell ref="U34:U37"/>
    <mergeCell ref="H33:H37"/>
    <mergeCell ref="I33:I37"/>
    <mergeCell ref="J33:J37"/>
    <mergeCell ref="X33:X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6:U9"/>
    <mergeCell ref="V6:V9"/>
    <mergeCell ref="W6:W9"/>
    <mergeCell ref="A33:A37"/>
    <mergeCell ref="B33:B37"/>
    <mergeCell ref="C33:C37"/>
    <mergeCell ref="D33:D37"/>
    <mergeCell ref="E33:E37"/>
    <mergeCell ref="F33:F37"/>
    <mergeCell ref="G33:G37"/>
    <mergeCell ref="O6:O9"/>
    <mergeCell ref="P6:P9"/>
    <mergeCell ref="Q6:Q9"/>
    <mergeCell ref="R6:R9"/>
    <mergeCell ref="S6:S9"/>
    <mergeCell ref="T6:T9"/>
    <mergeCell ref="N6:N9"/>
    <mergeCell ref="A5:A9"/>
    <mergeCell ref="X5:X9"/>
    <mergeCell ref="Y5:Y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8075-BC1B-41F5-B224-66F1CF1C3A5F}">
  <dimension ref="A1:CL73"/>
  <sheetViews>
    <sheetView topLeftCell="A3" zoomScale="85" zoomScaleNormal="85" workbookViewId="0">
      <selection activeCell="AF54" sqref="AF54"/>
    </sheetView>
  </sheetViews>
  <sheetFormatPr defaultColWidth="16.19921875" defaultRowHeight="8.25"/>
  <cols>
    <col min="1" max="1" width="56.3984375" style="197" customWidth="1"/>
    <col min="2" max="2" width="9.59765625" style="197" customWidth="1"/>
    <col min="3" max="3" width="11.3984375" style="197" bestFit="1" customWidth="1"/>
    <col min="4" max="9" width="9" style="197" customWidth="1"/>
    <col min="10" max="10" width="10.19921875" style="197" bestFit="1" customWidth="1"/>
    <col min="11" max="11" width="15.59765625" style="197" customWidth="1"/>
    <col min="12" max="12" width="11" style="197" bestFit="1" customWidth="1"/>
    <col min="13" max="13" width="11.796875" style="197" bestFit="1" customWidth="1"/>
    <col min="14" max="15" width="11.19921875" style="197" bestFit="1" customWidth="1"/>
    <col min="16" max="16" width="10.796875" style="197" bestFit="1" customWidth="1"/>
    <col min="17" max="17" width="11" style="197" bestFit="1" customWidth="1"/>
    <col min="18" max="18" width="10.796875" style="197" bestFit="1" customWidth="1"/>
    <col min="19" max="19" width="11.19921875" style="197" bestFit="1" customWidth="1"/>
    <col min="20" max="20" width="10" style="197" bestFit="1" customWidth="1"/>
    <col min="21" max="21" width="14.3984375" style="197" bestFit="1" customWidth="1"/>
    <col min="22" max="22" width="11.3984375" style="197" bestFit="1" customWidth="1"/>
    <col min="23" max="23" width="12.796875" style="197" bestFit="1" customWidth="1"/>
    <col min="24" max="24" width="10.59765625" style="197" customWidth="1"/>
    <col min="25" max="29" width="9" style="197" customWidth="1"/>
    <col min="30" max="30" width="11.59765625" style="197" customWidth="1"/>
    <col min="31" max="31" width="13.796875" style="197" bestFit="1" customWidth="1"/>
    <col min="32" max="32" width="14.796875" style="197" customWidth="1"/>
    <col min="33" max="16384" width="16.19921875" style="197"/>
  </cols>
  <sheetData>
    <row r="1" spans="1:27" s="171" customFormat="1" ht="12" customHeight="1">
      <c r="A1" s="170" t="s">
        <v>483</v>
      </c>
    </row>
    <row r="2" spans="1:27" s="171" customFormat="1" ht="6.75" customHeight="1"/>
    <row r="3" spans="1:27" s="171" customFormat="1" ht="12" customHeight="1">
      <c r="A3" s="172" t="s">
        <v>484</v>
      </c>
      <c r="J3" s="173"/>
      <c r="W3" s="174"/>
    </row>
    <row r="4" spans="1:27" s="54" customFormat="1" ht="10.15" customHeight="1">
      <c r="A4" s="175"/>
      <c r="J4" s="176"/>
      <c r="W4" s="177"/>
      <c r="X4" s="177"/>
      <c r="Y4" s="178" t="s">
        <v>485</v>
      </c>
    </row>
    <row r="5" spans="1:27" s="54" customFormat="1" ht="12" customHeight="1" thickBot="1">
      <c r="A5" s="397" t="s">
        <v>471</v>
      </c>
      <c r="B5" s="179" t="s">
        <v>486</v>
      </c>
      <c r="C5" s="180"/>
      <c r="D5" s="180"/>
      <c r="E5" s="180"/>
      <c r="F5" s="180"/>
      <c r="G5" s="180"/>
      <c r="H5" s="180"/>
      <c r="I5" s="180"/>
      <c r="J5" s="181"/>
      <c r="K5" s="182" t="s">
        <v>487</v>
      </c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4"/>
      <c r="X5" s="412" t="s">
        <v>488</v>
      </c>
      <c r="Y5" s="415" t="s">
        <v>489</v>
      </c>
    </row>
    <row r="6" spans="1:27" s="54" customFormat="1" ht="21" customHeight="1" thickTop="1">
      <c r="A6" s="397"/>
      <c r="B6" s="411" t="s">
        <v>490</v>
      </c>
      <c r="C6" s="411" t="s">
        <v>491</v>
      </c>
      <c r="D6" s="411" t="s">
        <v>492</v>
      </c>
      <c r="E6" s="411" t="s">
        <v>493</v>
      </c>
      <c r="F6" s="408" t="s">
        <v>494</v>
      </c>
      <c r="G6" s="411" t="s">
        <v>495</v>
      </c>
      <c r="H6" s="411" t="s">
        <v>496</v>
      </c>
      <c r="I6" s="411" t="s">
        <v>497</v>
      </c>
      <c r="J6" s="411" t="s">
        <v>498</v>
      </c>
      <c r="K6" s="403" t="s">
        <v>499</v>
      </c>
      <c r="L6" s="403" t="s">
        <v>473</v>
      </c>
      <c r="M6" s="403" t="s">
        <v>500</v>
      </c>
      <c r="N6" s="403" t="s">
        <v>501</v>
      </c>
      <c r="O6" s="403" t="s">
        <v>502</v>
      </c>
      <c r="P6" s="403" t="s">
        <v>476</v>
      </c>
      <c r="Q6" s="403" t="s">
        <v>503</v>
      </c>
      <c r="R6" s="403" t="s">
        <v>504</v>
      </c>
      <c r="S6" s="403" t="s">
        <v>505</v>
      </c>
      <c r="T6" s="403" t="s">
        <v>506</v>
      </c>
      <c r="U6" s="403" t="s">
        <v>481</v>
      </c>
      <c r="V6" s="403" t="s">
        <v>507</v>
      </c>
      <c r="W6" s="403" t="s">
        <v>508</v>
      </c>
      <c r="X6" s="413"/>
      <c r="Y6" s="415"/>
      <c r="AA6" s="185"/>
    </row>
    <row r="7" spans="1:27" s="54" customFormat="1" ht="21" customHeight="1">
      <c r="A7" s="397"/>
      <c r="B7" s="417"/>
      <c r="C7" s="400"/>
      <c r="D7" s="400"/>
      <c r="E7" s="399"/>
      <c r="F7" s="409"/>
      <c r="G7" s="399"/>
      <c r="H7" s="399"/>
      <c r="I7" s="399"/>
      <c r="J7" s="399"/>
      <c r="K7" s="404"/>
      <c r="L7" s="404"/>
      <c r="M7" s="404"/>
      <c r="N7" s="404"/>
      <c r="O7" s="404"/>
      <c r="P7" s="404"/>
      <c r="Q7" s="404"/>
      <c r="R7" s="404"/>
      <c r="S7" s="406"/>
      <c r="T7" s="406"/>
      <c r="U7" s="404"/>
      <c r="V7" s="404"/>
      <c r="W7" s="404"/>
      <c r="X7" s="413"/>
      <c r="Y7" s="415"/>
      <c r="AA7" s="186"/>
    </row>
    <row r="8" spans="1:27" s="54" customFormat="1" ht="21" customHeight="1">
      <c r="A8" s="397"/>
      <c r="B8" s="417"/>
      <c r="C8" s="400"/>
      <c r="D8" s="400"/>
      <c r="E8" s="399"/>
      <c r="F8" s="409"/>
      <c r="G8" s="399"/>
      <c r="H8" s="399"/>
      <c r="I8" s="399"/>
      <c r="J8" s="399"/>
      <c r="K8" s="404"/>
      <c r="L8" s="404"/>
      <c r="M8" s="404"/>
      <c r="N8" s="404"/>
      <c r="O8" s="404"/>
      <c r="P8" s="404"/>
      <c r="Q8" s="404"/>
      <c r="R8" s="404"/>
      <c r="S8" s="406"/>
      <c r="T8" s="406"/>
      <c r="U8" s="404"/>
      <c r="V8" s="404"/>
      <c r="W8" s="404"/>
      <c r="X8" s="413"/>
      <c r="Y8" s="415"/>
      <c r="AA8" s="186"/>
    </row>
    <row r="9" spans="1:27" s="54" customFormat="1" ht="21" customHeight="1" thickBot="1">
      <c r="A9" s="398"/>
      <c r="B9" s="418"/>
      <c r="C9" s="401"/>
      <c r="D9" s="401"/>
      <c r="E9" s="402"/>
      <c r="F9" s="410"/>
      <c r="G9" s="402"/>
      <c r="H9" s="402"/>
      <c r="I9" s="402"/>
      <c r="J9" s="402"/>
      <c r="K9" s="405"/>
      <c r="L9" s="405"/>
      <c r="M9" s="405"/>
      <c r="N9" s="405"/>
      <c r="O9" s="405"/>
      <c r="P9" s="405"/>
      <c r="Q9" s="405"/>
      <c r="R9" s="405"/>
      <c r="S9" s="407"/>
      <c r="T9" s="407"/>
      <c r="U9" s="405"/>
      <c r="V9" s="405"/>
      <c r="W9" s="405"/>
      <c r="X9" s="414"/>
      <c r="Y9" s="416"/>
      <c r="AA9" s="186"/>
    </row>
    <row r="10" spans="1:27" s="54" customFormat="1" ht="6.75" customHeight="1" thickTop="1">
      <c r="A10" s="187"/>
      <c r="B10" s="186"/>
      <c r="C10" s="186"/>
      <c r="D10" s="186"/>
      <c r="E10" s="188"/>
      <c r="F10" s="188"/>
      <c r="G10" s="188"/>
      <c r="H10" s="188"/>
      <c r="I10" s="188"/>
      <c r="J10" s="189"/>
      <c r="K10" s="186"/>
      <c r="L10" s="186"/>
      <c r="M10" s="186"/>
      <c r="N10" s="186"/>
      <c r="O10" s="186"/>
      <c r="P10" s="186"/>
      <c r="Q10" s="186"/>
      <c r="R10" s="186"/>
      <c r="S10" s="190"/>
      <c r="T10" s="186"/>
      <c r="U10" s="186"/>
      <c r="V10" s="186"/>
      <c r="W10" s="186"/>
      <c r="X10" s="191"/>
      <c r="Y10" s="186"/>
    </row>
    <row r="11" spans="1:27" s="54" customFormat="1" ht="10.15" customHeight="1">
      <c r="A11" s="187" t="s">
        <v>472</v>
      </c>
      <c r="B11" s="192">
        <f>B39</f>
        <v>938989</v>
      </c>
      <c r="C11" s="248">
        <f>$B11*ParâmeetrosTRU!C11</f>
        <v>101814</v>
      </c>
      <c r="D11" s="248">
        <f>$B11*ParâmeetrosTRU!D11</f>
        <v>17919</v>
      </c>
      <c r="E11" s="248">
        <f>$B11*ParâmeetrosTRU!E11</f>
        <v>0</v>
      </c>
      <c r="F11" s="248">
        <f>$B11*ParâmeetrosTRU!F11</f>
        <v>0</v>
      </c>
      <c r="G11" s="248">
        <f>$B11*ParâmeetrosTRU!G11</f>
        <v>0</v>
      </c>
      <c r="H11" s="248">
        <f>$B11*ParâmeetrosTRU!H11</f>
        <v>0</v>
      </c>
      <c r="I11" s="248">
        <f>$B11*ParâmeetrosTRU!I11</f>
        <v>18256</v>
      </c>
      <c r="J11" s="248">
        <f>$B11*ParâmeetrosTRU!J11</f>
        <v>801000</v>
      </c>
      <c r="K11" s="248">
        <f>$B11*ParâmeetrosTRU!K11</f>
        <v>777589</v>
      </c>
      <c r="L11" s="248">
        <f>$B11*ParâmeetrosTRU!L11</f>
        <v>0</v>
      </c>
      <c r="M11" s="248">
        <f>$B11*ParâmeetrosTRU!M11</f>
        <v>0</v>
      </c>
      <c r="N11" s="248">
        <f>$B11*ParâmeetrosTRU!N11</f>
        <v>0</v>
      </c>
      <c r="O11" s="248">
        <f>$B11*ParâmeetrosTRU!O11</f>
        <v>0</v>
      </c>
      <c r="P11" s="248">
        <f>$B11*ParâmeetrosTRU!P11</f>
        <v>172</v>
      </c>
      <c r="Q11" s="248">
        <f>$B11*ParâmeetrosTRU!Q11</f>
        <v>106</v>
      </c>
      <c r="R11" s="248">
        <f>$B11*ParâmeetrosTRU!R11</f>
        <v>0</v>
      </c>
      <c r="S11" s="248">
        <f>$B11*ParâmeetrosTRU!S11</f>
        <v>0</v>
      </c>
      <c r="T11" s="248">
        <f>$B11*ParâmeetrosTRU!T11</f>
        <v>0</v>
      </c>
      <c r="U11" s="248">
        <f>$B11*ParâmeetrosTRU!U11</f>
        <v>0</v>
      </c>
      <c r="V11" s="248">
        <f>$B11*ParâmeetrosTRU!V11</f>
        <v>602</v>
      </c>
      <c r="W11" s="248">
        <f>$B11*ParâmeetrosTRU!W11</f>
        <v>0</v>
      </c>
      <c r="X11" s="248">
        <f>$B11*ParâmeetrosTRU!X11</f>
        <v>0</v>
      </c>
      <c r="Y11" s="248">
        <f>$B11*ParâmeetrosTRU!Y11</f>
        <v>22531</v>
      </c>
    </row>
    <row r="12" spans="1:27" s="54" customFormat="1" ht="10.15" customHeight="1">
      <c r="A12" s="187" t="s">
        <v>473</v>
      </c>
      <c r="B12" s="192">
        <f t="shared" ref="B12:B22" si="0">B40</f>
        <v>474640.99999999994</v>
      </c>
      <c r="C12" s="248">
        <f>$B12*ParâmeetrosTRU!C12</f>
        <v>22876</v>
      </c>
      <c r="D12" s="248">
        <f>$B12*ParâmeetrosTRU!D12</f>
        <v>8440</v>
      </c>
      <c r="E12" s="248">
        <f>$B12*ParâmeetrosTRU!E12</f>
        <v>29.999999999999996</v>
      </c>
      <c r="F12" s="248">
        <f>$B12*ParâmeetrosTRU!F12</f>
        <v>0</v>
      </c>
      <c r="G12" s="248">
        <f>$B12*ParâmeetrosTRU!G12</f>
        <v>1454.9999999999998</v>
      </c>
      <c r="H12" s="248">
        <f>$B12*ParâmeetrosTRU!H12</f>
        <v>3222.9999999999995</v>
      </c>
      <c r="I12" s="248">
        <f>$B12*ParâmeetrosTRU!I12</f>
        <v>4707.9999999999991</v>
      </c>
      <c r="J12" s="248">
        <f>$B12*ParâmeetrosTRU!J12</f>
        <v>438616.99999999994</v>
      </c>
      <c r="K12" s="248">
        <f>$B12*ParâmeetrosTRU!K12</f>
        <v>317</v>
      </c>
      <c r="L12" s="248">
        <f>$B12*ParâmeetrosTRU!L12</f>
        <v>401703.99999999994</v>
      </c>
      <c r="M12" s="248">
        <f>$B12*ParâmeetrosTRU!M12</f>
        <v>1853.9999999999998</v>
      </c>
      <c r="N12" s="248">
        <f>$B12*ParâmeetrosTRU!N12</f>
        <v>0</v>
      </c>
      <c r="O12" s="248">
        <f>$B12*ParâmeetrosTRU!O12</f>
        <v>0</v>
      </c>
      <c r="P12" s="248">
        <f>$B12*ParâmeetrosTRU!P12</f>
        <v>319.99999999999994</v>
      </c>
      <c r="Q12" s="248">
        <f>$B12*ParâmeetrosTRU!Q12</f>
        <v>0</v>
      </c>
      <c r="R12" s="248">
        <f>$B12*ParâmeetrosTRU!R12</f>
        <v>0</v>
      </c>
      <c r="S12" s="248">
        <f>$B12*ParâmeetrosTRU!S12</f>
        <v>0</v>
      </c>
      <c r="T12" s="248">
        <f>$B12*ParâmeetrosTRU!T12</f>
        <v>0</v>
      </c>
      <c r="U12" s="248">
        <f>$B12*ParâmeetrosTRU!U12</f>
        <v>0</v>
      </c>
      <c r="V12" s="248">
        <f>$B12*ParâmeetrosTRU!V12</f>
        <v>14.999999999999998</v>
      </c>
      <c r="W12" s="248">
        <f>$B12*ParâmeetrosTRU!W12</f>
        <v>0</v>
      </c>
      <c r="X12" s="248">
        <f>$B12*ParâmeetrosTRU!X12</f>
        <v>0</v>
      </c>
      <c r="Y12" s="248">
        <f>$B12*ParâmeetrosTRU!Y12</f>
        <v>34407</v>
      </c>
    </row>
    <row r="13" spans="1:27" s="54" customFormat="1" ht="10.15" customHeight="1">
      <c r="A13" s="187" t="s">
        <v>474</v>
      </c>
      <c r="B13" s="192">
        <f t="shared" si="0"/>
        <v>6468661.9999999991</v>
      </c>
      <c r="C13" s="248">
        <f>$B13*ParâmeetrosTRU!C13</f>
        <v>1045721.9999999999</v>
      </c>
      <c r="D13" s="248">
        <f>$B13*ParâmeetrosTRU!D13</f>
        <v>71219.999999999985</v>
      </c>
      <c r="E13" s="248">
        <f>$B13*ParâmeetrosTRU!E13</f>
        <v>45157.999999999993</v>
      </c>
      <c r="F13" s="248">
        <f>$B13*ParâmeetrosTRU!F13</f>
        <v>55893.999999999993</v>
      </c>
      <c r="G13" s="248">
        <f>$B13*ParâmeetrosTRU!G13</f>
        <v>379581.99999999994</v>
      </c>
      <c r="H13" s="248">
        <f>$B13*ParâmeetrosTRU!H13</f>
        <v>152569.99999999997</v>
      </c>
      <c r="I13" s="248">
        <f>$B13*ParâmeetrosTRU!I13</f>
        <v>633203.99999999988</v>
      </c>
      <c r="J13" s="248">
        <f>$B13*ParâmeetrosTRU!J13</f>
        <v>4718515.9999999991</v>
      </c>
      <c r="K13" s="248">
        <f>$B13*ParâmeetrosTRU!K13</f>
        <v>9929.9999999999982</v>
      </c>
      <c r="L13" s="248">
        <f>$B13*ParâmeetrosTRU!L13</f>
        <v>6124.9999999999991</v>
      </c>
      <c r="M13" s="248">
        <f>$B13*ParâmeetrosTRU!M13</f>
        <v>3702843.9999999995</v>
      </c>
      <c r="N13" s="248">
        <f>$B13*ParâmeetrosTRU!N13</f>
        <v>0</v>
      </c>
      <c r="O13" s="248">
        <f>$B13*ParâmeetrosTRU!O13</f>
        <v>53.999999999999993</v>
      </c>
      <c r="P13" s="248">
        <f>$B13*ParâmeetrosTRU!P13</f>
        <v>91538.999999999985</v>
      </c>
      <c r="Q13" s="248">
        <f>$B13*ParâmeetrosTRU!Q13</f>
        <v>147</v>
      </c>
      <c r="R13" s="248">
        <f>$B13*ParâmeetrosTRU!R13</f>
        <v>656.99999999999989</v>
      </c>
      <c r="S13" s="248">
        <f>$B13*ParâmeetrosTRU!S13</f>
        <v>0</v>
      </c>
      <c r="T13" s="248">
        <f>$B13*ParâmeetrosTRU!T13</f>
        <v>0</v>
      </c>
      <c r="U13" s="248">
        <f>$B13*ParâmeetrosTRU!U13</f>
        <v>4150</v>
      </c>
      <c r="V13" s="248">
        <f>$B13*ParâmeetrosTRU!V13</f>
        <v>2010.9999999999995</v>
      </c>
      <c r="W13" s="248">
        <f>$B13*ParâmeetrosTRU!W13</f>
        <v>0</v>
      </c>
      <c r="X13" s="248">
        <f>$B13*ParâmeetrosTRU!X13</f>
        <v>0</v>
      </c>
      <c r="Y13" s="248">
        <f>$B13*ParâmeetrosTRU!Y13</f>
        <v>901058.99999999988</v>
      </c>
    </row>
    <row r="14" spans="1:27" s="54" customFormat="1" ht="10.15" customHeight="1">
      <c r="A14" s="187" t="s">
        <v>509</v>
      </c>
      <c r="B14" s="192">
        <f t="shared" si="0"/>
        <v>532995.99999999977</v>
      </c>
      <c r="C14" s="248">
        <f>$B14*ParâmeetrosTRU!C14</f>
        <v>4731.9999999999973</v>
      </c>
      <c r="D14" s="248">
        <f>$B14*ParâmeetrosTRU!D14</f>
        <v>0</v>
      </c>
      <c r="E14" s="248">
        <f>$B14*ParâmeetrosTRU!E14</f>
        <v>0</v>
      </c>
      <c r="F14" s="248">
        <f>$B14*ParâmeetrosTRU!F14</f>
        <v>0</v>
      </c>
      <c r="G14" s="248">
        <f>$B14*ParâmeetrosTRU!G14</f>
        <v>57828.999999999971</v>
      </c>
      <c r="H14" s="248">
        <f>$B14*ParâmeetrosTRU!H14</f>
        <v>13474.999999999995</v>
      </c>
      <c r="I14" s="248">
        <f>$B14*ParâmeetrosTRU!I14</f>
        <v>71303.999999999971</v>
      </c>
      <c r="J14" s="248">
        <f>$B14*ParâmeetrosTRU!J14</f>
        <v>456959.99999999983</v>
      </c>
      <c r="K14" s="248">
        <f>$B14*ParâmeetrosTRU!K14</f>
        <v>0</v>
      </c>
      <c r="L14" s="248">
        <f>$B14*ParâmeetrosTRU!L14</f>
        <v>0</v>
      </c>
      <c r="M14" s="248">
        <f>$B14*ParâmeetrosTRU!M14</f>
        <v>0</v>
      </c>
      <c r="N14" s="248">
        <f>$B14*ParâmeetrosTRU!N14</f>
        <v>441536.99999999977</v>
      </c>
      <c r="O14" s="248">
        <f>$B14*ParâmeetrosTRU!O14</f>
        <v>0</v>
      </c>
      <c r="P14" s="248">
        <f>$B14*ParâmeetrosTRU!P14</f>
        <v>0</v>
      </c>
      <c r="Q14" s="248">
        <f>$B14*ParâmeetrosTRU!Q14</f>
        <v>0</v>
      </c>
      <c r="R14" s="248">
        <f>$B14*ParâmeetrosTRU!R14</f>
        <v>0</v>
      </c>
      <c r="S14" s="248">
        <f>$B14*ParâmeetrosTRU!S14</f>
        <v>0</v>
      </c>
      <c r="T14" s="248">
        <f>$B14*ParâmeetrosTRU!T14</f>
        <v>0</v>
      </c>
      <c r="U14" s="248">
        <f>$B14*ParâmeetrosTRU!U14</f>
        <v>0</v>
      </c>
      <c r="V14" s="248">
        <f>$B14*ParâmeetrosTRU!V14</f>
        <v>7971.9999999999964</v>
      </c>
      <c r="W14" s="248">
        <f>$B14*ParâmeetrosTRU!W14</f>
        <v>0</v>
      </c>
      <c r="X14" s="248">
        <f>$B14*ParâmeetrosTRU!X14</f>
        <v>0</v>
      </c>
      <c r="Y14" s="248">
        <f>$B14*ParâmeetrosTRU!Y14</f>
        <v>7450.9999999999964</v>
      </c>
    </row>
    <row r="15" spans="1:27" s="54" customFormat="1" ht="10.15" customHeight="1">
      <c r="A15" s="187" t="s">
        <v>475</v>
      </c>
      <c r="B15" s="192">
        <f t="shared" si="0"/>
        <v>683264.00000000035</v>
      </c>
      <c r="C15" s="248">
        <f>$B15*ParâmeetrosTRU!C15</f>
        <v>0</v>
      </c>
      <c r="D15" s="248">
        <f>$B15*ParâmeetrosTRU!D15</f>
        <v>0</v>
      </c>
      <c r="E15" s="248">
        <f>$B15*ParâmeetrosTRU!E15</f>
        <v>0</v>
      </c>
      <c r="F15" s="248">
        <f>$B15*ParâmeetrosTRU!F15</f>
        <v>0</v>
      </c>
      <c r="G15" s="248">
        <f>$B15*ParâmeetrosTRU!G15</f>
        <v>0</v>
      </c>
      <c r="H15" s="248">
        <f>$B15*ParâmeetrosTRU!H15</f>
        <v>31512.000000000015</v>
      </c>
      <c r="I15" s="248">
        <f>$B15*ParâmeetrosTRU!I15</f>
        <v>31512.000000000015</v>
      </c>
      <c r="J15" s="248">
        <f>$B15*ParâmeetrosTRU!J15</f>
        <v>651752.00000000035</v>
      </c>
      <c r="K15" s="248">
        <f>$B15*ParâmeetrosTRU!K15</f>
        <v>7719.0000000000036</v>
      </c>
      <c r="L15" s="248">
        <f>$B15*ParâmeetrosTRU!L15</f>
        <v>33321.000000000015</v>
      </c>
      <c r="M15" s="248">
        <f>$B15*ParâmeetrosTRU!M15</f>
        <v>0</v>
      </c>
      <c r="N15" s="248">
        <f>$B15*ParâmeetrosTRU!N15</f>
        <v>0</v>
      </c>
      <c r="O15" s="248">
        <f>$B15*ParâmeetrosTRU!O15</f>
        <v>607286.00000000023</v>
      </c>
      <c r="P15" s="248">
        <f>$B15*ParâmeetrosTRU!P15</f>
        <v>0</v>
      </c>
      <c r="Q15" s="248">
        <f>$B15*ParâmeetrosTRU!Q15</f>
        <v>0</v>
      </c>
      <c r="R15" s="248">
        <f>$B15*ParâmeetrosTRU!R15</f>
        <v>0</v>
      </c>
      <c r="S15" s="248">
        <f>$B15*ParâmeetrosTRU!S15</f>
        <v>0</v>
      </c>
      <c r="T15" s="248">
        <f>$B15*ParâmeetrosTRU!T15</f>
        <v>0</v>
      </c>
      <c r="U15" s="248">
        <f>$B15*ParâmeetrosTRU!U15</f>
        <v>0</v>
      </c>
      <c r="V15" s="248">
        <f>$B15*ParâmeetrosTRU!V15</f>
        <v>1.0000000000000004</v>
      </c>
      <c r="W15" s="248">
        <f>$B15*ParâmeetrosTRU!W15</f>
        <v>0</v>
      </c>
      <c r="X15" s="248">
        <f>$B15*ParâmeetrosTRU!X15</f>
        <v>0</v>
      </c>
      <c r="Y15" s="248">
        <f>$B15*ParâmeetrosTRU!Y15</f>
        <v>3425.0000000000018</v>
      </c>
    </row>
    <row r="16" spans="1:27" s="54" customFormat="1" ht="10.15" customHeight="1">
      <c r="A16" s="187" t="s">
        <v>476</v>
      </c>
      <c r="B16" s="192">
        <f t="shared" si="0"/>
        <v>140736.99999999994</v>
      </c>
      <c r="C16" s="248">
        <f>$B16*ParâmeetrosTRU!C16</f>
        <v>-1186682.9999999995</v>
      </c>
      <c r="D16" s="248">
        <f>$B16*ParâmeetrosTRU!D16</f>
        <v>0</v>
      </c>
      <c r="E16" s="248">
        <f>$B16*ParâmeetrosTRU!E16</f>
        <v>0</v>
      </c>
      <c r="F16" s="248">
        <f>$B16*ParâmeetrosTRU!F16</f>
        <v>0</v>
      </c>
      <c r="G16" s="248">
        <f>$B16*ParâmeetrosTRU!G16</f>
        <v>0</v>
      </c>
      <c r="H16" s="248">
        <f>$B16*ParâmeetrosTRU!H16</f>
        <v>2616.9999999999991</v>
      </c>
      <c r="I16" s="248">
        <f>$B16*ParâmeetrosTRU!I16</f>
        <v>2616.9999999999991</v>
      </c>
      <c r="J16" s="248">
        <f>$B16*ParâmeetrosTRU!J16</f>
        <v>1324802.9999999995</v>
      </c>
      <c r="K16" s="248">
        <f>$B16*ParâmeetrosTRU!K16</f>
        <v>0</v>
      </c>
      <c r="L16" s="248">
        <f>$B16*ParâmeetrosTRU!L16</f>
        <v>31.999999999999986</v>
      </c>
      <c r="M16" s="248">
        <f>$B16*ParâmeetrosTRU!M16</f>
        <v>24810.999999999993</v>
      </c>
      <c r="N16" s="248">
        <f>$B16*ParâmeetrosTRU!N16</f>
        <v>33.999999999999986</v>
      </c>
      <c r="O16" s="248">
        <f>$B16*ParâmeetrosTRU!O16</f>
        <v>11.999999999999995</v>
      </c>
      <c r="P16" s="248">
        <f>$B16*ParâmeetrosTRU!P16</f>
        <v>1288916.9999999995</v>
      </c>
      <c r="Q16" s="248">
        <f>$B16*ParâmeetrosTRU!Q16</f>
        <v>829.99999999999966</v>
      </c>
      <c r="R16" s="248">
        <f>$B16*ParâmeetrosTRU!R16</f>
        <v>3787.9999999999986</v>
      </c>
      <c r="S16" s="248">
        <f>$B16*ParâmeetrosTRU!S16</f>
        <v>0</v>
      </c>
      <c r="T16" s="248">
        <f>$B16*ParâmeetrosTRU!T16</f>
        <v>0</v>
      </c>
      <c r="U16" s="248">
        <f>$B16*ParâmeetrosTRU!U16</f>
        <v>2677.9999999999991</v>
      </c>
      <c r="V16" s="248">
        <f>$B16*ParâmeetrosTRU!V16</f>
        <v>329.99999999999989</v>
      </c>
      <c r="W16" s="248">
        <f>$B16*ParâmeetrosTRU!W16</f>
        <v>0</v>
      </c>
      <c r="X16" s="248">
        <f>$B16*ParâmeetrosTRU!X16</f>
        <v>0</v>
      </c>
      <c r="Y16" s="248">
        <f>$B16*ParâmeetrosTRU!Y16</f>
        <v>3370.9999999999986</v>
      </c>
    </row>
    <row r="17" spans="1:32" s="54" customFormat="1" ht="10.15" customHeight="1">
      <c r="A17" s="187" t="s">
        <v>477</v>
      </c>
      <c r="B17" s="192">
        <f t="shared" si="0"/>
        <v>568287.99999999977</v>
      </c>
      <c r="C17" s="248">
        <f>$B17*ParâmeetrosTRU!C17</f>
        <v>0</v>
      </c>
      <c r="D17" s="248">
        <f>$B17*ParâmeetrosTRU!D17</f>
        <v>-97640.999999999956</v>
      </c>
      <c r="E17" s="248">
        <f>$B17*ParâmeetrosTRU!E17</f>
        <v>0</v>
      </c>
      <c r="F17" s="248">
        <f>$B17*ParâmeetrosTRU!F17</f>
        <v>0</v>
      </c>
      <c r="G17" s="248">
        <f>$B17*ParâmeetrosTRU!G17</f>
        <v>10587.999999999996</v>
      </c>
      <c r="H17" s="248">
        <f>$B17*ParâmeetrosTRU!H17</f>
        <v>19325.999999999993</v>
      </c>
      <c r="I17" s="248">
        <f>$B17*ParâmeetrosTRU!I17</f>
        <v>29913.999999999985</v>
      </c>
      <c r="J17" s="248">
        <f>$B17*ParâmeetrosTRU!J17</f>
        <v>636014.99999999977</v>
      </c>
      <c r="K17" s="248">
        <f>$B17*ParâmeetrosTRU!K17</f>
        <v>0</v>
      </c>
      <c r="L17" s="248">
        <f>$B17*ParâmeetrosTRU!L17</f>
        <v>0</v>
      </c>
      <c r="M17" s="248">
        <f>$B17*ParâmeetrosTRU!M17</f>
        <v>0</v>
      </c>
      <c r="N17" s="248">
        <f>$B17*ParâmeetrosTRU!N17</f>
        <v>457.99999999999983</v>
      </c>
      <c r="O17" s="248">
        <f>$B17*ParâmeetrosTRU!O17</f>
        <v>0</v>
      </c>
      <c r="P17" s="248">
        <f>$B17*ParâmeetrosTRU!P17</f>
        <v>3007.9999999999991</v>
      </c>
      <c r="Q17" s="248">
        <f>$B17*ParâmeetrosTRU!Q17</f>
        <v>611350.99999999977</v>
      </c>
      <c r="R17" s="248">
        <f>$B17*ParâmeetrosTRU!R17</f>
        <v>0</v>
      </c>
      <c r="S17" s="248">
        <f>$B17*ParâmeetrosTRU!S17</f>
        <v>0</v>
      </c>
      <c r="T17" s="248">
        <f>$B17*ParâmeetrosTRU!T17</f>
        <v>0</v>
      </c>
      <c r="U17" s="248">
        <f>$B17*ParâmeetrosTRU!U17</f>
        <v>94.999999999999957</v>
      </c>
      <c r="V17" s="248">
        <f>$B17*ParâmeetrosTRU!V17</f>
        <v>4667.9999999999982</v>
      </c>
      <c r="W17" s="248">
        <f>$B17*ParâmeetrosTRU!W17</f>
        <v>0</v>
      </c>
      <c r="X17" s="248">
        <f>$B17*ParâmeetrosTRU!X17</f>
        <v>0</v>
      </c>
      <c r="Y17" s="248">
        <f>$B17*ParâmeetrosTRU!Y17</f>
        <v>16434.999999999993</v>
      </c>
    </row>
    <row r="18" spans="1:32" s="54" customFormat="1" ht="10.15" customHeight="1">
      <c r="A18" s="187" t="s">
        <v>478</v>
      </c>
      <c r="B18" s="192">
        <f t="shared" si="0"/>
        <v>535540.99999999988</v>
      </c>
      <c r="C18" s="248">
        <f>$B18*ParâmeetrosTRU!C18</f>
        <v>11538.999999999998</v>
      </c>
      <c r="D18" s="248">
        <f>$B18*ParâmeetrosTRU!D18</f>
        <v>61.999999999999986</v>
      </c>
      <c r="E18" s="248">
        <f>$B18*ParâmeetrosTRU!E18</f>
        <v>11.999999999999998</v>
      </c>
      <c r="F18" s="248">
        <f>$B18*ParâmeetrosTRU!F18</f>
        <v>0</v>
      </c>
      <c r="G18" s="248">
        <f>$B18*ParâmeetrosTRU!G18</f>
        <v>38830.999999999993</v>
      </c>
      <c r="H18" s="248">
        <f>$B18*ParâmeetrosTRU!H18</f>
        <v>17568.999999999996</v>
      </c>
      <c r="I18" s="248">
        <f>$B18*ParâmeetrosTRU!I18</f>
        <v>56411.999999999985</v>
      </c>
      <c r="J18" s="248">
        <f>$B18*ParâmeetrosTRU!J18</f>
        <v>467527.99999999994</v>
      </c>
      <c r="K18" s="248">
        <f>$B18*ParâmeetrosTRU!K18</f>
        <v>0</v>
      </c>
      <c r="L18" s="248">
        <f>$B18*ParâmeetrosTRU!L18</f>
        <v>0</v>
      </c>
      <c r="M18" s="248">
        <f>$B18*ParâmeetrosTRU!M18</f>
        <v>0</v>
      </c>
      <c r="N18" s="248">
        <f>$B18*ParâmeetrosTRU!N18</f>
        <v>0</v>
      </c>
      <c r="O18" s="248">
        <f>$B18*ParâmeetrosTRU!O18</f>
        <v>0</v>
      </c>
      <c r="P18" s="248">
        <f>$B18*ParâmeetrosTRU!P18</f>
        <v>1046.9999999999998</v>
      </c>
      <c r="Q18" s="248">
        <f>$B18*ParâmeetrosTRU!Q18</f>
        <v>47.999999999999993</v>
      </c>
      <c r="R18" s="248">
        <f>$B18*ParâmeetrosTRU!R18</f>
        <v>426996.99999999994</v>
      </c>
      <c r="S18" s="248">
        <f>$B18*ParâmeetrosTRU!S18</f>
        <v>1247.9999999999998</v>
      </c>
      <c r="T18" s="248">
        <f>$B18*ParâmeetrosTRU!T18</f>
        <v>0</v>
      </c>
      <c r="U18" s="248">
        <f>$B18*ParâmeetrosTRU!U18</f>
        <v>136.99999999999997</v>
      </c>
      <c r="V18" s="248">
        <f>$B18*ParâmeetrosTRU!V18</f>
        <v>2088.9999999999995</v>
      </c>
      <c r="W18" s="248">
        <f>$B18*ParâmeetrosTRU!W18</f>
        <v>0</v>
      </c>
      <c r="X18" s="248">
        <f>$B18*ParâmeetrosTRU!X18</f>
        <v>0</v>
      </c>
      <c r="Y18" s="248">
        <f>$B18*ParâmeetrosTRU!Y18</f>
        <v>35961.999999999993</v>
      </c>
    </row>
    <row r="19" spans="1:32" s="54" customFormat="1" ht="9.75" customHeight="1">
      <c r="A19" s="193" t="s">
        <v>479</v>
      </c>
      <c r="B19" s="192">
        <f t="shared" si="0"/>
        <v>800075.99999999977</v>
      </c>
      <c r="C19" s="248">
        <f>$B19*ParâmeetrosTRU!C19</f>
        <v>0</v>
      </c>
      <c r="D19" s="248">
        <f>$B19*ParâmeetrosTRU!D19</f>
        <v>0</v>
      </c>
      <c r="E19" s="248">
        <f>$B19*ParâmeetrosTRU!E19</f>
        <v>0</v>
      </c>
      <c r="F19" s="248">
        <f>$B19*ParâmeetrosTRU!F19</f>
        <v>0</v>
      </c>
      <c r="G19" s="248">
        <f>$B19*ParâmeetrosTRU!G19</f>
        <v>0</v>
      </c>
      <c r="H19" s="248">
        <f>$B19*ParâmeetrosTRU!H19</f>
        <v>67487.999999999985</v>
      </c>
      <c r="I19" s="248">
        <f>$B19*ParâmeetrosTRU!I19</f>
        <v>67487.999999999985</v>
      </c>
      <c r="J19" s="248">
        <f>$B19*ParâmeetrosTRU!J19</f>
        <v>732587.99999999988</v>
      </c>
      <c r="K19" s="248">
        <f>$B19*ParâmeetrosTRU!K19</f>
        <v>0</v>
      </c>
      <c r="L19" s="248">
        <f>$B19*ParâmeetrosTRU!L19</f>
        <v>0</v>
      </c>
      <c r="M19" s="248">
        <f>$B19*ParâmeetrosTRU!M19</f>
        <v>0</v>
      </c>
      <c r="N19" s="248">
        <f>$B19*ParâmeetrosTRU!N19</f>
        <v>0</v>
      </c>
      <c r="O19" s="248">
        <f>$B19*ParâmeetrosTRU!O19</f>
        <v>0</v>
      </c>
      <c r="P19" s="248">
        <f>$B19*ParâmeetrosTRU!P19</f>
        <v>0</v>
      </c>
      <c r="Q19" s="248">
        <f>$B19*ParâmeetrosTRU!Q19</f>
        <v>0</v>
      </c>
      <c r="R19" s="248">
        <f>$B19*ParâmeetrosTRU!R19</f>
        <v>0</v>
      </c>
      <c r="S19" s="248">
        <f>$B19*ParâmeetrosTRU!S19</f>
        <v>687861.99999999977</v>
      </c>
      <c r="T19" s="248">
        <f>$B19*ParâmeetrosTRU!T19</f>
        <v>0</v>
      </c>
      <c r="U19" s="248">
        <f>$B19*ParâmeetrosTRU!U19</f>
        <v>0</v>
      </c>
      <c r="V19" s="248">
        <f>$B19*ParâmeetrosTRU!V19</f>
        <v>433.99999999999989</v>
      </c>
      <c r="W19" s="248">
        <f>$B19*ParâmeetrosTRU!W19</f>
        <v>0</v>
      </c>
      <c r="X19" s="248">
        <f>$B19*ParâmeetrosTRU!X19</f>
        <v>0</v>
      </c>
      <c r="Y19" s="248">
        <f>$B19*ParâmeetrosTRU!Y19</f>
        <v>44291.999999999985</v>
      </c>
    </row>
    <row r="20" spans="1:32" s="54" customFormat="1" ht="10.15" customHeight="1">
      <c r="A20" s="187" t="s">
        <v>480</v>
      </c>
      <c r="B20" s="192">
        <f t="shared" si="0"/>
        <v>793035.00000000012</v>
      </c>
      <c r="C20" s="248">
        <f>$B20*ParâmeetrosTRU!C20</f>
        <v>0</v>
      </c>
      <c r="D20" s="248">
        <f>$B20*ParâmeetrosTRU!D20</f>
        <v>0</v>
      </c>
      <c r="E20" s="248">
        <f>$B20*ParâmeetrosTRU!E20</f>
        <v>0</v>
      </c>
      <c r="F20" s="248">
        <f>$B20*ParâmeetrosTRU!F20</f>
        <v>0</v>
      </c>
      <c r="G20" s="248">
        <f>$B20*ParâmeetrosTRU!G20</f>
        <v>0</v>
      </c>
      <c r="H20" s="248">
        <f>$B20*ParâmeetrosTRU!H20</f>
        <v>1248.0000000000002</v>
      </c>
      <c r="I20" s="248">
        <f>$B20*ParâmeetrosTRU!I20</f>
        <v>1248.0000000000002</v>
      </c>
      <c r="J20" s="248">
        <f>$B20*ParâmeetrosTRU!J20</f>
        <v>791787.00000000012</v>
      </c>
      <c r="K20" s="248">
        <f>$B20*ParâmeetrosTRU!K20</f>
        <v>92.000000000000014</v>
      </c>
      <c r="L20" s="248">
        <f>$B20*ParâmeetrosTRU!L20</f>
        <v>670.00000000000011</v>
      </c>
      <c r="M20" s="248">
        <f>$B20*ParâmeetrosTRU!M20</f>
        <v>26394.000000000004</v>
      </c>
      <c r="N20" s="248">
        <f>$B20*ParâmeetrosTRU!N20</f>
        <v>12370.000000000002</v>
      </c>
      <c r="O20" s="248">
        <f>$B20*ParâmeetrosTRU!O20</f>
        <v>3762.0000000000005</v>
      </c>
      <c r="P20" s="248">
        <f>$B20*ParâmeetrosTRU!P20</f>
        <v>2639.0000000000005</v>
      </c>
      <c r="Q20" s="248">
        <f>$B20*ParâmeetrosTRU!Q20</f>
        <v>5161.0000000000009</v>
      </c>
      <c r="R20" s="248">
        <f>$B20*ParâmeetrosTRU!R20</f>
        <v>1526.0000000000002</v>
      </c>
      <c r="S20" s="248">
        <f>$B20*ParâmeetrosTRU!S20</f>
        <v>9080.0000000000018</v>
      </c>
      <c r="T20" s="248">
        <f>$B20*ParâmeetrosTRU!T20</f>
        <v>711631.00000000012</v>
      </c>
      <c r="U20" s="248">
        <f>$B20*ParâmeetrosTRU!U20</f>
        <v>8689.0000000000018</v>
      </c>
      <c r="V20" s="248">
        <f>$B20*ParâmeetrosTRU!V20</f>
        <v>2641.0000000000005</v>
      </c>
      <c r="W20" s="248">
        <f>$B20*ParâmeetrosTRU!W20</f>
        <v>0</v>
      </c>
      <c r="X20" s="248">
        <f>$B20*ParâmeetrosTRU!X20</f>
        <v>0</v>
      </c>
      <c r="Y20" s="248">
        <f>$B20*ParâmeetrosTRU!Y20</f>
        <v>7132.0000000000009</v>
      </c>
      <c r="AB20" s="192"/>
    </row>
    <row r="21" spans="1:32" s="54" customFormat="1" ht="10.15" customHeight="1">
      <c r="A21" s="187" t="s">
        <v>481</v>
      </c>
      <c r="B21" s="192">
        <f t="shared" si="0"/>
        <v>2125358</v>
      </c>
      <c r="C21" s="248">
        <f>$B21*ParâmeetrosTRU!C21</f>
        <v>0</v>
      </c>
      <c r="D21" s="248">
        <f>$B21*ParâmeetrosTRU!D21</f>
        <v>0</v>
      </c>
      <c r="E21" s="248">
        <f>$B21*ParâmeetrosTRU!E21</f>
        <v>3</v>
      </c>
      <c r="F21" s="248">
        <f>$B21*ParâmeetrosTRU!F21</f>
        <v>0</v>
      </c>
      <c r="G21" s="248">
        <f>$B21*ParâmeetrosTRU!G21</f>
        <v>23099</v>
      </c>
      <c r="H21" s="248">
        <f>$B21*ParâmeetrosTRU!H21</f>
        <v>74895</v>
      </c>
      <c r="I21" s="248">
        <f>$B21*ParâmeetrosTRU!I21</f>
        <v>97997</v>
      </c>
      <c r="J21" s="248">
        <f>$B21*ParâmeetrosTRU!J21</f>
        <v>2027361</v>
      </c>
      <c r="K21" s="248">
        <f>$B21*ParâmeetrosTRU!K21</f>
        <v>114</v>
      </c>
      <c r="L21" s="248">
        <f>$B21*ParâmeetrosTRU!L21</f>
        <v>179</v>
      </c>
      <c r="M21" s="248">
        <f>$B21*ParâmeetrosTRU!M21</f>
        <v>13473</v>
      </c>
      <c r="N21" s="248">
        <f>$B21*ParâmeetrosTRU!N21</f>
        <v>342</v>
      </c>
      <c r="O21" s="248">
        <f>$B21*ParâmeetrosTRU!O21</f>
        <v>1387</v>
      </c>
      <c r="P21" s="248">
        <f>$B21*ParâmeetrosTRU!P21</f>
        <v>16909</v>
      </c>
      <c r="Q21" s="248">
        <f>$B21*ParâmeetrosTRU!Q21</f>
        <v>11258</v>
      </c>
      <c r="R21" s="248">
        <f>$B21*ParâmeetrosTRU!R21</f>
        <v>2680</v>
      </c>
      <c r="S21" s="248">
        <f>$B21*ParâmeetrosTRU!S21</f>
        <v>2713</v>
      </c>
      <c r="T21" s="248">
        <f>$B21*ParâmeetrosTRU!T21</f>
        <v>0</v>
      </c>
      <c r="U21" s="248">
        <f>$B21*ParâmeetrosTRU!U21</f>
        <v>1797276</v>
      </c>
      <c r="V21" s="248">
        <f>$B21*ParâmeetrosTRU!V21</f>
        <v>51086</v>
      </c>
      <c r="W21" s="248">
        <f>$B21*ParâmeetrosTRU!W21</f>
        <v>0</v>
      </c>
      <c r="X21" s="248">
        <f>$B21*ParâmeetrosTRU!X21</f>
        <v>0</v>
      </c>
      <c r="Y21" s="248">
        <f>$B21*ParâmeetrosTRU!Y21</f>
        <v>129944</v>
      </c>
    </row>
    <row r="22" spans="1:32" s="54" customFormat="1" ht="10.15" customHeight="1">
      <c r="A22" s="187" t="s">
        <v>482</v>
      </c>
      <c r="B22" s="192">
        <f t="shared" si="0"/>
        <v>1465281</v>
      </c>
      <c r="C22" s="248">
        <f>$B22*ParâmeetrosTRU!C22</f>
        <v>0</v>
      </c>
      <c r="D22" s="248">
        <f>$B22*ParâmeetrosTRU!D22</f>
        <v>0</v>
      </c>
      <c r="E22" s="248">
        <f>$B22*ParâmeetrosTRU!E22</f>
        <v>0</v>
      </c>
      <c r="F22" s="248">
        <f>$B22*ParâmeetrosTRU!F22</f>
        <v>0</v>
      </c>
      <c r="G22" s="248">
        <f>$B22*ParâmeetrosTRU!G22</f>
        <v>0</v>
      </c>
      <c r="H22" s="248">
        <f>$B22*ParâmeetrosTRU!H22</f>
        <v>0</v>
      </c>
      <c r="I22" s="248">
        <f>$B22*ParâmeetrosTRU!I22</f>
        <v>0</v>
      </c>
      <c r="J22" s="248">
        <f>$B22*ParâmeetrosTRU!J22</f>
        <v>1465281</v>
      </c>
      <c r="K22" s="248">
        <f>$B22*ParâmeetrosTRU!K22</f>
        <v>0</v>
      </c>
      <c r="L22" s="248">
        <f>$B22*ParâmeetrosTRU!L22</f>
        <v>0</v>
      </c>
      <c r="M22" s="248">
        <f>$B22*ParâmeetrosTRU!M22</f>
        <v>0</v>
      </c>
      <c r="N22" s="248">
        <f>$B22*ParâmeetrosTRU!N22</f>
        <v>0</v>
      </c>
      <c r="O22" s="248">
        <f>$B22*ParâmeetrosTRU!O22</f>
        <v>0</v>
      </c>
      <c r="P22" s="248">
        <f>$B22*ParâmeetrosTRU!P22</f>
        <v>0</v>
      </c>
      <c r="Q22" s="248">
        <f>$B22*ParâmeetrosTRU!Q22</f>
        <v>0</v>
      </c>
      <c r="R22" s="248">
        <f>$B22*ParâmeetrosTRU!R22</f>
        <v>0</v>
      </c>
      <c r="S22" s="248">
        <f>$B22*ParâmeetrosTRU!S22</f>
        <v>0</v>
      </c>
      <c r="T22" s="248">
        <f>$B22*ParâmeetrosTRU!T22</f>
        <v>0</v>
      </c>
      <c r="U22" s="248">
        <f>$B22*ParâmeetrosTRU!U22</f>
        <v>0</v>
      </c>
      <c r="V22" s="248">
        <f>$B22*ParâmeetrosTRU!V22</f>
        <v>1465281</v>
      </c>
      <c r="W22" s="248">
        <f>$B22*ParâmeetrosTRU!W22</f>
        <v>0</v>
      </c>
      <c r="X22" s="248">
        <f>$B22*ParâmeetrosTRU!X22</f>
        <v>0</v>
      </c>
      <c r="Y22" s="248">
        <f>$B22*ParâmeetrosTRU!Y22</f>
        <v>0</v>
      </c>
    </row>
    <row r="23" spans="1:32" s="54" customFormat="1" ht="10.15" customHeight="1">
      <c r="A23" s="187"/>
      <c r="B23" s="192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192"/>
    </row>
    <row r="24" spans="1:32" s="54" customFormat="1" ht="10.15" customHeight="1">
      <c r="A24" s="187" t="s">
        <v>510</v>
      </c>
      <c r="B24" s="192">
        <f>SUM(B11:B22)</f>
        <v>15526867.999999998</v>
      </c>
      <c r="C24" s="192">
        <f t="shared" ref="C24:X24" si="1">SUM(C11:C22)</f>
        <v>4.638422979041934E-10</v>
      </c>
      <c r="D24" s="192">
        <f t="shared" si="1"/>
        <v>2.9089619602018502E-11</v>
      </c>
      <c r="E24" s="192">
        <f t="shared" si="1"/>
        <v>45202.999999999993</v>
      </c>
      <c r="F24" s="192">
        <f t="shared" si="1"/>
        <v>55893.999999999993</v>
      </c>
      <c r="G24" s="192">
        <f t="shared" si="1"/>
        <v>511383.99999999988</v>
      </c>
      <c r="H24" s="192">
        <f t="shared" si="1"/>
        <v>383923</v>
      </c>
      <c r="I24" s="192">
        <f t="shared" si="1"/>
        <v>1014659.9999999999</v>
      </c>
      <c r="J24" s="192">
        <f t="shared" si="1"/>
        <v>14512207.999999998</v>
      </c>
      <c r="K24" s="192">
        <f t="shared" si="1"/>
        <v>795761</v>
      </c>
      <c r="L24" s="192">
        <f t="shared" si="1"/>
        <v>442030.99999999994</v>
      </c>
      <c r="M24" s="192">
        <f t="shared" si="1"/>
        <v>3769375.9999999995</v>
      </c>
      <c r="N24" s="192">
        <f t="shared" si="1"/>
        <v>454740.99999999977</v>
      </c>
      <c r="O24" s="192">
        <f t="shared" si="1"/>
        <v>612501.00000000023</v>
      </c>
      <c r="P24" s="192">
        <f t="shared" si="1"/>
        <v>1404550.9999999995</v>
      </c>
      <c r="Q24" s="192">
        <f t="shared" si="1"/>
        <v>628900.99999999977</v>
      </c>
      <c r="R24" s="192">
        <f t="shared" si="1"/>
        <v>435647.99999999994</v>
      </c>
      <c r="S24" s="192">
        <f t="shared" si="1"/>
        <v>700902.99999999977</v>
      </c>
      <c r="T24" s="192">
        <f t="shared" si="1"/>
        <v>711631.00000000012</v>
      </c>
      <c r="U24" s="192">
        <f t="shared" si="1"/>
        <v>1813025</v>
      </c>
      <c r="V24" s="192">
        <f t="shared" si="1"/>
        <v>1537130</v>
      </c>
      <c r="W24" s="192">
        <f t="shared" si="1"/>
        <v>0</v>
      </c>
      <c r="X24" s="192">
        <f t="shared" si="1"/>
        <v>0</v>
      </c>
      <c r="Y24" s="192">
        <f>SUM(Y11:Y22)</f>
        <v>1206008.9999999998</v>
      </c>
    </row>
    <row r="25" spans="1:32" s="54" customFormat="1" ht="6" customHeight="1">
      <c r="A25" s="194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</row>
    <row r="26" spans="1:32" s="54" customFormat="1" ht="15" customHeight="1">
      <c r="A26" s="54" t="s">
        <v>106</v>
      </c>
    </row>
    <row r="27" spans="1:32" s="54" customFormat="1" ht="9" customHeight="1">
      <c r="A27" s="187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</row>
    <row r="28" spans="1:32" s="54" customFormat="1" ht="9" customHeight="1">
      <c r="A28" s="187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</row>
    <row r="29" spans="1:32" s="54" customFormat="1" ht="9" customHeight="1">
      <c r="A29" s="187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</row>
    <row r="30" spans="1:32" ht="19.899999999999999" customHeight="1"/>
    <row r="31" spans="1:32" s="171" customFormat="1" ht="12" customHeight="1">
      <c r="A31" s="170" t="s">
        <v>511</v>
      </c>
    </row>
    <row r="32" spans="1:32" s="54" customFormat="1" ht="10.15" customHeight="1">
      <c r="A32" s="198"/>
      <c r="AE32" s="178"/>
      <c r="AF32" s="178" t="s">
        <v>485</v>
      </c>
    </row>
    <row r="33" spans="1:90" s="54" customFormat="1" ht="19.5" customHeight="1" thickBot="1">
      <c r="A33" s="397" t="s">
        <v>471</v>
      </c>
      <c r="B33" s="399" t="s">
        <v>490</v>
      </c>
      <c r="C33" s="399" t="s">
        <v>491</v>
      </c>
      <c r="D33" s="399" t="s">
        <v>492</v>
      </c>
      <c r="E33" s="399" t="s">
        <v>493</v>
      </c>
      <c r="F33" s="399" t="s">
        <v>494</v>
      </c>
      <c r="G33" s="399" t="s">
        <v>495</v>
      </c>
      <c r="H33" s="399" t="s">
        <v>512</v>
      </c>
      <c r="I33" s="399" t="s">
        <v>513</v>
      </c>
      <c r="J33" s="399" t="s">
        <v>498</v>
      </c>
      <c r="K33" s="199" t="s">
        <v>514</v>
      </c>
      <c r="L33" s="199"/>
      <c r="M33" s="199"/>
      <c r="N33" s="199"/>
      <c r="O33" s="199"/>
      <c r="P33" s="199"/>
      <c r="Q33" s="200"/>
      <c r="R33" s="199"/>
      <c r="S33" s="199"/>
      <c r="T33" s="199"/>
      <c r="U33" s="199"/>
      <c r="V33" s="199"/>
      <c r="W33" s="201"/>
      <c r="X33" s="386" t="s">
        <v>515</v>
      </c>
      <c r="Y33" s="202" t="s">
        <v>516</v>
      </c>
      <c r="Z33" s="203"/>
      <c r="AA33" s="203"/>
      <c r="AB33" s="203"/>
      <c r="AC33" s="203"/>
      <c r="AD33" s="203"/>
      <c r="AE33" s="203"/>
      <c r="AF33" s="389" t="s">
        <v>517</v>
      </c>
    </row>
    <row r="34" spans="1:90" s="54" customFormat="1" ht="21" customHeight="1" thickTop="1">
      <c r="A34" s="397"/>
      <c r="B34" s="395"/>
      <c r="C34" s="400"/>
      <c r="D34" s="400"/>
      <c r="E34" s="399"/>
      <c r="F34" s="399"/>
      <c r="G34" s="399"/>
      <c r="H34" s="399"/>
      <c r="I34" s="399"/>
      <c r="J34" s="400"/>
      <c r="K34" s="392" t="s">
        <v>499</v>
      </c>
      <c r="L34" s="392" t="s">
        <v>473</v>
      </c>
      <c r="M34" s="392" t="s">
        <v>500</v>
      </c>
      <c r="N34" s="392" t="s">
        <v>501</v>
      </c>
      <c r="O34" s="392" t="s">
        <v>502</v>
      </c>
      <c r="P34" s="392" t="s">
        <v>476</v>
      </c>
      <c r="Q34" s="392" t="s">
        <v>503</v>
      </c>
      <c r="R34" s="392" t="s">
        <v>504</v>
      </c>
      <c r="S34" s="392" t="s">
        <v>505</v>
      </c>
      <c r="T34" s="392" t="s">
        <v>506</v>
      </c>
      <c r="U34" s="392" t="s">
        <v>481</v>
      </c>
      <c r="V34" s="392" t="s">
        <v>507</v>
      </c>
      <c r="W34" s="392" t="s">
        <v>508</v>
      </c>
      <c r="X34" s="387"/>
      <c r="Y34" s="371" t="s">
        <v>518</v>
      </c>
      <c r="Z34" s="371" t="s">
        <v>519</v>
      </c>
      <c r="AA34" s="383" t="s">
        <v>520</v>
      </c>
      <c r="AB34" s="371" t="s">
        <v>521</v>
      </c>
      <c r="AC34" s="371" t="s">
        <v>522</v>
      </c>
      <c r="AD34" s="371" t="s">
        <v>523</v>
      </c>
      <c r="AE34" s="371" t="s">
        <v>566</v>
      </c>
      <c r="AF34" s="390"/>
      <c r="AH34" s="392" t="s">
        <v>499</v>
      </c>
      <c r="AI34" s="392" t="s">
        <v>473</v>
      </c>
      <c r="AJ34" s="392" t="s">
        <v>500</v>
      </c>
      <c r="AK34" s="392" t="s">
        <v>501</v>
      </c>
      <c r="AL34" s="392" t="s">
        <v>502</v>
      </c>
      <c r="AM34" s="392" t="s">
        <v>476</v>
      </c>
      <c r="AN34" s="392" t="s">
        <v>503</v>
      </c>
      <c r="AO34" s="392" t="s">
        <v>504</v>
      </c>
      <c r="AP34" s="392" t="s">
        <v>505</v>
      </c>
      <c r="AQ34" s="392" t="s">
        <v>506</v>
      </c>
      <c r="AR34" s="392" t="s">
        <v>481</v>
      </c>
      <c r="AS34" s="392" t="s">
        <v>507</v>
      </c>
      <c r="BH34" s="392" t="s">
        <v>499</v>
      </c>
      <c r="BI34" s="392" t="s">
        <v>473</v>
      </c>
      <c r="BJ34" s="392" t="s">
        <v>500</v>
      </c>
      <c r="BK34" s="392" t="s">
        <v>501</v>
      </c>
      <c r="BL34" s="392" t="s">
        <v>502</v>
      </c>
      <c r="BM34" s="392" t="s">
        <v>476</v>
      </c>
      <c r="BN34" s="392" t="s">
        <v>503</v>
      </c>
      <c r="BO34" s="392" t="s">
        <v>504</v>
      </c>
      <c r="BP34" s="392" t="s">
        <v>505</v>
      </c>
      <c r="BQ34" s="392" t="s">
        <v>506</v>
      </c>
      <c r="BR34" s="392" t="s">
        <v>481</v>
      </c>
      <c r="BS34" s="392" t="s">
        <v>507</v>
      </c>
    </row>
    <row r="35" spans="1:90" s="54" customFormat="1" ht="21" customHeight="1">
      <c r="A35" s="397"/>
      <c r="B35" s="395"/>
      <c r="C35" s="400"/>
      <c r="D35" s="400"/>
      <c r="E35" s="399"/>
      <c r="F35" s="399"/>
      <c r="G35" s="399"/>
      <c r="H35" s="399"/>
      <c r="I35" s="399"/>
      <c r="J35" s="400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87"/>
      <c r="Y35" s="395"/>
      <c r="Z35" s="372"/>
      <c r="AA35" s="384"/>
      <c r="AB35" s="372"/>
      <c r="AC35" s="374"/>
      <c r="AD35" s="374"/>
      <c r="AE35" s="374"/>
      <c r="AF35" s="390"/>
      <c r="AH35" s="393"/>
      <c r="AI35" s="393"/>
      <c r="AJ35" s="393"/>
      <c r="AK35" s="393"/>
      <c r="AL35" s="393"/>
      <c r="AM35" s="393"/>
      <c r="AN35" s="393"/>
      <c r="AO35" s="393"/>
      <c r="AP35" s="393"/>
      <c r="AQ35" s="393"/>
      <c r="AR35" s="393"/>
      <c r="AS35" s="393"/>
      <c r="BH35" s="393"/>
      <c r="BI35" s="393"/>
      <c r="BJ35" s="393"/>
      <c r="BK35" s="393"/>
      <c r="BL35" s="393"/>
      <c r="BM35" s="393"/>
      <c r="BN35" s="393"/>
      <c r="BO35" s="393"/>
      <c r="BP35" s="393"/>
      <c r="BQ35" s="393"/>
      <c r="BR35" s="393"/>
      <c r="BS35" s="393"/>
    </row>
    <row r="36" spans="1:90" s="54" customFormat="1" ht="21" customHeight="1">
      <c r="A36" s="397"/>
      <c r="B36" s="395"/>
      <c r="C36" s="400"/>
      <c r="D36" s="400"/>
      <c r="E36" s="399"/>
      <c r="F36" s="399"/>
      <c r="G36" s="399"/>
      <c r="H36" s="399"/>
      <c r="I36" s="399"/>
      <c r="J36" s="400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87"/>
      <c r="Y36" s="395"/>
      <c r="Z36" s="372"/>
      <c r="AA36" s="384"/>
      <c r="AB36" s="372"/>
      <c r="AC36" s="374"/>
      <c r="AD36" s="374"/>
      <c r="AE36" s="374"/>
      <c r="AF36" s="390"/>
      <c r="AH36" s="393"/>
      <c r="AI36" s="393"/>
      <c r="AJ36" s="393"/>
      <c r="AK36" s="393"/>
      <c r="AL36" s="393"/>
      <c r="AM36" s="393"/>
      <c r="AN36" s="393"/>
      <c r="AO36" s="393"/>
      <c r="AP36" s="393"/>
      <c r="AQ36" s="393"/>
      <c r="AR36" s="393"/>
      <c r="AS36" s="393"/>
      <c r="BH36" s="393"/>
      <c r="BI36" s="393"/>
      <c r="BJ36" s="393"/>
      <c r="BK36" s="393"/>
      <c r="BL36" s="393"/>
      <c r="BM36" s="393"/>
      <c r="BN36" s="393"/>
      <c r="BO36" s="393"/>
      <c r="BP36" s="393"/>
      <c r="BQ36" s="393"/>
      <c r="BR36" s="393"/>
      <c r="BS36" s="393"/>
    </row>
    <row r="37" spans="1:90" s="54" customFormat="1" ht="21" customHeight="1" thickBot="1">
      <c r="A37" s="398"/>
      <c r="B37" s="396"/>
      <c r="C37" s="401"/>
      <c r="D37" s="401"/>
      <c r="E37" s="402"/>
      <c r="F37" s="402"/>
      <c r="G37" s="402"/>
      <c r="H37" s="402"/>
      <c r="I37" s="402"/>
      <c r="J37" s="401"/>
      <c r="K37" s="394"/>
      <c r="L37" s="394"/>
      <c r="M37" s="394"/>
      <c r="N37" s="394"/>
      <c r="O37" s="394"/>
      <c r="P37" s="394"/>
      <c r="Q37" s="394"/>
      <c r="R37" s="394"/>
      <c r="S37" s="394"/>
      <c r="T37" s="394"/>
      <c r="U37" s="394"/>
      <c r="V37" s="394"/>
      <c r="W37" s="394"/>
      <c r="X37" s="388"/>
      <c r="Y37" s="396"/>
      <c r="Z37" s="373"/>
      <c r="AA37" s="385"/>
      <c r="AB37" s="373"/>
      <c r="AC37" s="375"/>
      <c r="AD37" s="375"/>
      <c r="AE37" s="375"/>
      <c r="AF37" s="391"/>
      <c r="AH37" s="394"/>
      <c r="AI37" s="394"/>
      <c r="AJ37" s="394"/>
      <c r="AK37" s="394"/>
      <c r="AL37" s="394"/>
      <c r="AM37" s="394"/>
      <c r="AN37" s="394"/>
      <c r="AO37" s="394"/>
      <c r="AP37" s="394"/>
      <c r="AQ37" s="394"/>
      <c r="AR37" s="394"/>
      <c r="AS37" s="394"/>
      <c r="BH37" s="394"/>
      <c r="BI37" s="394"/>
      <c r="BJ37" s="394"/>
      <c r="BK37" s="394"/>
      <c r="BL37" s="394"/>
      <c r="BM37" s="394"/>
      <c r="BN37" s="394"/>
      <c r="BO37" s="394"/>
      <c r="BP37" s="394"/>
      <c r="BQ37" s="394"/>
      <c r="BR37" s="394"/>
      <c r="BS37" s="394"/>
    </row>
    <row r="38" spans="1:90" s="54" customFormat="1" ht="6.75" customHeight="1" thickTop="1">
      <c r="A38" s="187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204"/>
      <c r="Y38" s="190"/>
      <c r="Z38" s="190"/>
      <c r="AA38" s="190"/>
      <c r="AB38" s="190"/>
      <c r="AC38" s="190"/>
      <c r="AD38" s="190"/>
      <c r="AE38" s="190"/>
      <c r="AF38" s="190"/>
      <c r="CK38" s="54" t="s">
        <v>559</v>
      </c>
      <c r="CL38" s="54" t="s">
        <v>560</v>
      </c>
    </row>
    <row r="39" spans="1:90" s="54" customFormat="1" ht="10.15" customHeight="1">
      <c r="A39" s="205" t="s">
        <v>472</v>
      </c>
      <c r="B39" s="192">
        <f>AF39</f>
        <v>938989</v>
      </c>
      <c r="C39" s="192"/>
      <c r="D39" s="192"/>
      <c r="E39" s="192"/>
      <c r="F39" s="192"/>
      <c r="G39" s="192"/>
      <c r="H39" s="192"/>
      <c r="I39" s="192"/>
      <c r="J39" s="192"/>
      <c r="K39" s="248">
        <f>K$24*ParâmeetrosTRU!K39</f>
        <v>46529</v>
      </c>
      <c r="L39" s="248">
        <f>L$24*ParâmeetrosTRU!L39</f>
        <v>1.9999999999999998</v>
      </c>
      <c r="M39" s="248">
        <f>M$24*ParâmeetrosTRU!M39</f>
        <v>385354</v>
      </c>
      <c r="N39" s="248">
        <f>N$24*ParâmeetrosTRU!N39</f>
        <v>68.999999999999957</v>
      </c>
      <c r="O39" s="248">
        <f>O$24*ParâmeetrosTRU!O39</f>
        <v>1088.0000000000005</v>
      </c>
      <c r="P39" s="248">
        <f>P$24*ParâmeetrosTRU!P39</f>
        <v>16887.999999999996</v>
      </c>
      <c r="Q39" s="248">
        <f>Q$24*ParâmeetrosTRU!Q39</f>
        <v>0</v>
      </c>
      <c r="R39" s="248">
        <f>R$24*ParâmeetrosTRU!R39</f>
        <v>0</v>
      </c>
      <c r="S39" s="248">
        <f>S$24*ParâmeetrosTRU!S39</f>
        <v>0</v>
      </c>
      <c r="T39" s="248">
        <f>T$24*ParâmeetrosTRU!T39</f>
        <v>0</v>
      </c>
      <c r="U39" s="248">
        <f>U$24*ParâmeetrosTRU!U39</f>
        <v>11153</v>
      </c>
      <c r="V39" s="248">
        <f>V$24*ParâmeetrosTRU!V39</f>
        <v>3683</v>
      </c>
      <c r="W39" s="192">
        <f t="shared" ref="W39:W51" si="2">SUM(K39:V39)</f>
        <v>464766</v>
      </c>
      <c r="X39" s="191"/>
      <c r="Y39" s="232"/>
      <c r="Z39" s="232"/>
      <c r="AA39" s="232"/>
      <c r="AB39" s="232"/>
      <c r="AC39" s="232"/>
      <c r="AD39" s="248"/>
      <c r="AE39" s="248">
        <f>SimulCEI!X27</f>
        <v>261529</v>
      </c>
      <c r="AF39" s="248">
        <f>CH39</f>
        <v>938989</v>
      </c>
      <c r="AH39" s="232">
        <f>ParâmeetrosTRU!AH39</f>
        <v>4.9552231176297062E-2</v>
      </c>
      <c r="AI39" s="232">
        <f>ParâmeetrosTRU!AI39</f>
        <v>4.2137109942040408E-6</v>
      </c>
      <c r="AJ39" s="232">
        <f>ParâmeetrosTRU!AJ39</f>
        <v>5.9572443265701623E-2</v>
      </c>
      <c r="AK39" s="232">
        <f>ParâmeetrosTRU!AK39</f>
        <v>1.2945688147753453E-4</v>
      </c>
      <c r="AL39" s="232">
        <f>ParâmeetrosTRU!AL39</f>
        <v>1.5923566878980893E-3</v>
      </c>
      <c r="AM39" s="232">
        <f>ParâmeetrosTRU!AM39</f>
        <v>0.11999687360111413</v>
      </c>
      <c r="AN39" s="232">
        <f>ParâmeetrosTRU!AN39</f>
        <v>0</v>
      </c>
      <c r="AO39" s="232">
        <f>ParâmeetrosTRU!AO39</f>
        <v>0</v>
      </c>
      <c r="AP39" s="232">
        <f>ParâmeetrosTRU!AP39</f>
        <v>0</v>
      </c>
      <c r="AQ39" s="232">
        <f>ParâmeetrosTRU!AQ39</f>
        <v>0</v>
      </c>
      <c r="AR39" s="232">
        <f>ParâmeetrosTRU!AR39</f>
        <v>5.2475865242467383E-3</v>
      </c>
      <c r="AS39" s="232">
        <f>ParâmeetrosTRU!AS39</f>
        <v>2.5135110603358673E-3</v>
      </c>
      <c r="AU39" s="54">
        <v>1</v>
      </c>
      <c r="BH39" s="256">
        <f>AU39-ParâmeetrosTRU!AH39-'Matriz consumo'!C25</f>
        <v>0.72393393319836552</v>
      </c>
      <c r="BI39" s="256">
        <f>AV39-ParâmeetrosTRU!AI39-'Matriz consumo'!D25</f>
        <v>-4.2137109942040408E-6</v>
      </c>
      <c r="BJ39" s="256">
        <f>AW39-ParâmeetrosTRU!AJ39-'Matriz consumo'!E25</f>
        <v>-5.9572443265701623E-2</v>
      </c>
      <c r="BK39" s="256">
        <f>AX39-ParâmeetrosTRU!AK39-'Matriz consumo'!F25</f>
        <v>-1.2945688147753453E-4</v>
      </c>
      <c r="BL39" s="256">
        <f>AY39-ParâmeetrosTRU!AL39-'Matriz consumo'!G25</f>
        <v>-1.5923566878980893E-3</v>
      </c>
      <c r="BM39" s="256">
        <f>AZ39-ParâmeetrosTRU!AM39-'Matriz consumo'!H25</f>
        <v>-0.11999687360111413</v>
      </c>
      <c r="BN39" s="256">
        <f>BA39-ParâmeetrosTRU!AN39-'Matriz consumo'!I25</f>
        <v>0</v>
      </c>
      <c r="BO39" s="256">
        <f>BB39-ParâmeetrosTRU!AO39-'Matriz consumo'!J25</f>
        <v>0</v>
      </c>
      <c r="BP39" s="256">
        <f>BC39-ParâmeetrosTRU!AP39-'Matriz consumo'!K25</f>
        <v>0</v>
      </c>
      <c r="BQ39" s="256">
        <f>BD39-ParâmeetrosTRU!AQ39-'Matriz consumo'!L25</f>
        <v>0</v>
      </c>
      <c r="BR39" s="256">
        <f>BE39-ParâmeetrosTRU!AR39-'Matriz consumo'!M25</f>
        <v>-5.2475865242467383E-3</v>
      </c>
      <c r="BS39" s="256">
        <f>BF39-ParâmeetrosTRU!AS39-'Matriz consumo'!N25</f>
        <v>-2.5135110603358673E-3</v>
      </c>
      <c r="BU39" s="54">
        <f t="array" ref="BU39:CF50">MINVERSE(BH39:BS50)</f>
        <v>1.5055031809370432</v>
      </c>
      <c r="BV39" s="54">
        <v>0.11800759975262326</v>
      </c>
      <c r="BW39" s="54">
        <v>0.29490510388745939</v>
      </c>
      <c r="BX39" s="54">
        <v>0.10110531133591477</v>
      </c>
      <c r="BY39" s="54">
        <v>0.12262063005700224</v>
      </c>
      <c r="BZ39" s="54">
        <v>1.5743663167562199</v>
      </c>
      <c r="CA39" s="54">
        <v>0.19478712136327153</v>
      </c>
      <c r="CB39" s="54">
        <v>7.7986765369884525E-2</v>
      </c>
      <c r="CC39" s="54">
        <v>5.3593136802164723E-2</v>
      </c>
      <c r="CD39" s="54">
        <v>4.3687573573223129E-2</v>
      </c>
      <c r="CE39" s="54">
        <v>0.12079642467030589</v>
      </c>
      <c r="CF39" s="54">
        <v>4.5494984778740526E-2</v>
      </c>
      <c r="CH39" s="248">
        <f t="array" ref="CH39:CH50">MMULT(BU39:CF50,AE39:AE50)</f>
        <v>938989</v>
      </c>
      <c r="CI39" s="248">
        <f>Original!AF39</f>
        <v>938989</v>
      </c>
      <c r="CK39" s="248">
        <f t="array" ref="CK39:CK50">MMULT(AH39:AS50,CH39:CH50)</f>
        <v>464765.99999999994</v>
      </c>
      <c r="CL39" s="248">
        <f t="array" ref="CL39:CL50">MMULT('Matriz consumo'!C25:N36,CH39:CH50)</f>
        <v>212694</v>
      </c>
    </row>
    <row r="40" spans="1:90" s="54" customFormat="1" ht="10.15" customHeight="1">
      <c r="A40" s="205" t="s">
        <v>473</v>
      </c>
      <c r="B40" s="192">
        <f t="shared" ref="B40:B50" si="3">AF40</f>
        <v>474640.99999999994</v>
      </c>
      <c r="C40" s="192"/>
      <c r="D40" s="192"/>
      <c r="E40" s="192"/>
      <c r="F40" s="192"/>
      <c r="G40" s="192"/>
      <c r="H40" s="192"/>
      <c r="I40" s="192"/>
      <c r="J40" s="192"/>
      <c r="K40" s="248">
        <f>K$24*ParâmeetrosTRU!K40</f>
        <v>874</v>
      </c>
      <c r="L40" s="248">
        <f>L$24*ParâmeetrosTRU!L40</f>
        <v>16120.999999999998</v>
      </c>
      <c r="M40" s="248">
        <f>M$24*ParâmeetrosTRU!M40</f>
        <v>198221.99999999997</v>
      </c>
      <c r="N40" s="248">
        <f>N$24*ParâmeetrosTRU!N40</f>
        <v>12853.999999999995</v>
      </c>
      <c r="O40" s="248">
        <f>O$24*ParâmeetrosTRU!O40</f>
        <v>9589.0000000000036</v>
      </c>
      <c r="P40" s="248">
        <f>P$24*ParâmeetrosTRU!P40</f>
        <v>120.99999999999996</v>
      </c>
      <c r="Q40" s="248">
        <f>Q$24*ParâmeetrosTRU!Q40</f>
        <v>5.9999999999999973</v>
      </c>
      <c r="R40" s="248">
        <f>R$24*ParâmeetrosTRU!R40</f>
        <v>0</v>
      </c>
      <c r="S40" s="248">
        <f>S$24*ParâmeetrosTRU!S40</f>
        <v>0</v>
      </c>
      <c r="T40" s="248">
        <f>T$24*ParâmeetrosTRU!T40</f>
        <v>551.00000000000011</v>
      </c>
      <c r="U40" s="248">
        <f>U$24*ParâmeetrosTRU!U40</f>
        <v>86</v>
      </c>
      <c r="V40" s="248">
        <f>V$24*ParâmeetrosTRU!V40</f>
        <v>149</v>
      </c>
      <c r="W40" s="192">
        <f t="shared" si="2"/>
        <v>238572.99999999997</v>
      </c>
      <c r="X40" s="191"/>
      <c r="Y40" s="232"/>
      <c r="Z40" s="232"/>
      <c r="AA40" s="232"/>
      <c r="AB40" s="232"/>
      <c r="AC40" s="232"/>
      <c r="AD40" s="248"/>
      <c r="AE40" s="248">
        <f>SimulCEI!X28</f>
        <v>236068</v>
      </c>
      <c r="AF40" s="248">
        <f t="shared" ref="AF40:AF51" si="4">CH40</f>
        <v>474640.99999999994</v>
      </c>
      <c r="AH40" s="232">
        <f>ParâmeetrosTRU!AH40</f>
        <v>9.3078832659381524E-4</v>
      </c>
      <c r="AI40" s="232">
        <f>ParâmeetrosTRU!AI40</f>
        <v>3.3964617468781669E-2</v>
      </c>
      <c r="AJ40" s="232">
        <f>ParâmeetrosTRU!AJ40</f>
        <v>3.0643431361848866E-2</v>
      </c>
      <c r="AK40" s="232">
        <f>ParâmeetrosTRU!AK40</f>
        <v>2.4116503688583028E-2</v>
      </c>
      <c r="AL40" s="232">
        <f>ParâmeetrosTRU!AL40</f>
        <v>1.4034106875234171E-2</v>
      </c>
      <c r="AM40" s="232">
        <f>ParâmeetrosTRU!AM40</f>
        <v>8.5975969361290917E-4</v>
      </c>
      <c r="AN40" s="232">
        <f>ParâmeetrosTRU!AN40</f>
        <v>1.0558026915929951E-5</v>
      </c>
      <c r="AO40" s="232">
        <f>ParâmeetrosTRU!AO40</f>
        <v>0</v>
      </c>
      <c r="AP40" s="232">
        <f>ParâmeetrosTRU!AP40</f>
        <v>0</v>
      </c>
      <c r="AQ40" s="232">
        <f>ParâmeetrosTRU!AQ40</f>
        <v>6.9479909461751376E-4</v>
      </c>
      <c r="AR40" s="232">
        <f>ParâmeetrosTRU!AR40</f>
        <v>4.0463771279944366E-5</v>
      </c>
      <c r="AS40" s="232">
        <f>ParâmeetrosTRU!AS40</f>
        <v>1.0168698017649858E-4</v>
      </c>
      <c r="AV40" s="54">
        <v>1</v>
      </c>
      <c r="BH40" s="256">
        <f>AU40-ParâmeetrosTRU!AH40-'Matriz consumo'!C26</f>
        <v>-9.3078832659381524E-4</v>
      </c>
      <c r="BI40" s="256">
        <f>AV40-ParâmeetrosTRU!AI40-'Matriz consumo'!D26</f>
        <v>0.96603538253121835</v>
      </c>
      <c r="BJ40" s="256">
        <f>AW40-ParâmeetrosTRU!AJ40-'Matriz consumo'!E26</f>
        <v>-3.0643431361848866E-2</v>
      </c>
      <c r="BK40" s="256">
        <f>AX40-ParâmeetrosTRU!AK40-'Matriz consumo'!F26</f>
        <v>-2.4116503688583028E-2</v>
      </c>
      <c r="BL40" s="256">
        <f>AY40-ParâmeetrosTRU!AL40-'Matriz consumo'!G26</f>
        <v>-1.4034106875234171E-2</v>
      </c>
      <c r="BM40" s="256">
        <f>AZ40-ParâmeetrosTRU!AM40-'Matriz consumo'!H26</f>
        <v>-8.5975969361290917E-4</v>
      </c>
      <c r="BN40" s="256">
        <f>BA40-ParâmeetrosTRU!AN40-'Matriz consumo'!I26</f>
        <v>-1.0558026915929951E-5</v>
      </c>
      <c r="BO40" s="256">
        <f>BB40-ParâmeetrosTRU!AO40-'Matriz consumo'!J26</f>
        <v>0</v>
      </c>
      <c r="BP40" s="256">
        <f>BC40-ParâmeetrosTRU!AP40-'Matriz consumo'!K26</f>
        <v>0</v>
      </c>
      <c r="BQ40" s="256">
        <f>BD40-ParâmeetrosTRU!AQ40-'Matriz consumo'!L26</f>
        <v>-6.9479909461751376E-4</v>
      </c>
      <c r="BR40" s="256">
        <f>BE40-ParâmeetrosTRU!AR40-'Matriz consumo'!M26</f>
        <v>-4.0463771279944366E-5</v>
      </c>
      <c r="BS40" s="256">
        <f>BF40-ParâmeetrosTRU!AS40-'Matriz consumo'!N26</f>
        <v>-1.0168698017649858E-4</v>
      </c>
      <c r="BU40" s="54">
        <v>5.0902048065624504E-2</v>
      </c>
      <c r="BV40" s="54">
        <v>1.080461028256289</v>
      </c>
      <c r="BW40" s="54">
        <v>0.11364538387999799</v>
      </c>
      <c r="BX40" s="54">
        <v>0.10357995902087902</v>
      </c>
      <c r="BY40" s="54">
        <v>6.230523653797139E-2</v>
      </c>
      <c r="BZ40" s="54">
        <v>0.51176701094940813</v>
      </c>
      <c r="CA40" s="54">
        <v>7.3538426969730841E-2</v>
      </c>
      <c r="CB40" s="54">
        <v>2.9403130502201894E-2</v>
      </c>
      <c r="CC40" s="54">
        <v>2.0687801283670523E-2</v>
      </c>
      <c r="CD40" s="54">
        <v>2.1492782624322609E-2</v>
      </c>
      <c r="CE40" s="54">
        <v>4.3434428335880959E-2</v>
      </c>
      <c r="CF40" s="54">
        <v>1.7229233050757724E-2</v>
      </c>
      <c r="CH40" s="248">
        <v>474640.99999999994</v>
      </c>
      <c r="CI40" s="248">
        <f>Original!AF40</f>
        <v>474641</v>
      </c>
      <c r="CK40" s="248">
        <v>238572.99999999997</v>
      </c>
      <c r="CL40" s="248">
        <v>0</v>
      </c>
    </row>
    <row r="41" spans="1:90" s="54" customFormat="1" ht="10.15" customHeight="1">
      <c r="A41" s="205" t="s">
        <v>474</v>
      </c>
      <c r="B41" s="192">
        <f t="shared" si="3"/>
        <v>6468661.9999999991</v>
      </c>
      <c r="C41" s="192"/>
      <c r="D41" s="192"/>
      <c r="E41" s="192"/>
      <c r="F41" s="192"/>
      <c r="G41" s="192"/>
      <c r="H41" s="192"/>
      <c r="I41" s="192"/>
      <c r="J41" s="192"/>
      <c r="K41" s="248">
        <f>K$24*ParâmeetrosTRU!K41</f>
        <v>264935</v>
      </c>
      <c r="L41" s="248">
        <f>L$24*ParâmeetrosTRU!L41</f>
        <v>117876.99999999999</v>
      </c>
      <c r="M41" s="248">
        <f>M$24*ParâmeetrosTRU!M41</f>
        <v>1817708.9999999998</v>
      </c>
      <c r="N41" s="248">
        <f>N$24*ParâmeetrosTRU!N41</f>
        <v>39414.999999999978</v>
      </c>
      <c r="O41" s="248">
        <f>O$24*ParâmeetrosTRU!O41</f>
        <v>232483.00000000012</v>
      </c>
      <c r="P41" s="248">
        <f>P$24*ParâmeetrosTRU!P41</f>
        <v>143691.99999999997</v>
      </c>
      <c r="Q41" s="248">
        <f>Q$24*ParâmeetrosTRU!Q41</f>
        <v>168627.99999999994</v>
      </c>
      <c r="R41" s="248">
        <f>R$24*ParâmeetrosTRU!R41</f>
        <v>24713.999999999996</v>
      </c>
      <c r="S41" s="248">
        <f>S$24*ParâmeetrosTRU!S41</f>
        <v>9571.9999999999964</v>
      </c>
      <c r="T41" s="248">
        <f>T$24*ParâmeetrosTRU!T41</f>
        <v>11292.000000000002</v>
      </c>
      <c r="U41" s="248">
        <f>U$24*ParâmeetrosTRU!U41</f>
        <v>261506.00000000003</v>
      </c>
      <c r="V41" s="248">
        <f>V$24*ParâmeetrosTRU!V41</f>
        <v>85762</v>
      </c>
      <c r="W41" s="192">
        <f t="shared" si="2"/>
        <v>3177585</v>
      </c>
      <c r="X41" s="191"/>
      <c r="Y41" s="232"/>
      <c r="Z41" s="232"/>
      <c r="AA41" s="232"/>
      <c r="AB41" s="232"/>
      <c r="AC41" s="232"/>
      <c r="AD41" s="248"/>
      <c r="AE41" s="248">
        <f>SimulCEI!X29</f>
        <v>1142372</v>
      </c>
      <c r="AF41" s="248">
        <f t="shared" si="4"/>
        <v>6468661.9999999991</v>
      </c>
      <c r="AH41" s="232">
        <f>ParâmeetrosTRU!AH41</f>
        <v>0.28214920515575792</v>
      </c>
      <c r="AI41" s="232">
        <f>ParâmeetrosTRU!AI41</f>
        <v>0.24834980543189483</v>
      </c>
      <c r="AJ41" s="232">
        <f>ParâmeetrosTRU!AJ41</f>
        <v>0.28100231547111287</v>
      </c>
      <c r="AK41" s="232">
        <f>ParâmeetrosTRU!AK41</f>
        <v>7.3949898310681508E-2</v>
      </c>
      <c r="AL41" s="232">
        <f>ParâmeetrosTRU!AL41</f>
        <v>0.34025354767703259</v>
      </c>
      <c r="AM41" s="232">
        <f>ParâmeetrosTRU!AM41</f>
        <v>1.0209966106993897</v>
      </c>
      <c r="AN41" s="232">
        <f>ParâmeetrosTRU!AN41</f>
        <v>0.29672982712990598</v>
      </c>
      <c r="AO41" s="232">
        <f>ParâmeetrosTRU!AO41</f>
        <v>4.6147727251508286E-2</v>
      </c>
      <c r="AP41" s="232">
        <f>ParâmeetrosTRU!AP41</f>
        <v>1.1963863432973867E-2</v>
      </c>
      <c r="AQ41" s="232">
        <f>ParâmeetrosTRU!AQ41</f>
        <v>1.4238968015283059E-2</v>
      </c>
      <c r="AR41" s="232">
        <f>ParâmeetrosTRU!AR41</f>
        <v>0.12304091828294339</v>
      </c>
      <c r="AS41" s="232">
        <f>ParâmeetrosTRU!AS41</f>
        <v>5.8529387878502488E-2</v>
      </c>
      <c r="AW41" s="54">
        <v>1</v>
      </c>
      <c r="BH41" s="256">
        <f>AU41-ParâmeetrosTRU!AH41-'Matriz consumo'!C27</f>
        <v>-0.28214920515575792</v>
      </c>
      <c r="BI41" s="256">
        <f>AV41-ParâmeetrosTRU!AI41-'Matriz consumo'!D27</f>
        <v>-0.24834980543189483</v>
      </c>
      <c r="BJ41" s="256">
        <f>AW41-ParâmeetrosTRU!AJ41-'Matriz consumo'!E27</f>
        <v>0.38682620919132893</v>
      </c>
      <c r="BK41" s="256">
        <f>AX41-ParâmeetrosTRU!AK41-'Matriz consumo'!F27</f>
        <v>-7.3949898310681508E-2</v>
      </c>
      <c r="BL41" s="256">
        <f>AY41-ParâmeetrosTRU!AL41-'Matriz consumo'!G27</f>
        <v>-0.34025354767703259</v>
      </c>
      <c r="BM41" s="256">
        <f>AZ41-ParâmeetrosTRU!AM41-'Matriz consumo'!H27</f>
        <v>-1.0209966106993897</v>
      </c>
      <c r="BN41" s="256">
        <f>BA41-ParâmeetrosTRU!AN41-'Matriz consumo'!I27</f>
        <v>-0.29672982712990598</v>
      </c>
      <c r="BO41" s="256">
        <f>BB41-ParâmeetrosTRU!AO41-'Matriz consumo'!J27</f>
        <v>-4.6147727251508286E-2</v>
      </c>
      <c r="BP41" s="256">
        <f>BC41-ParâmeetrosTRU!AP41-'Matriz consumo'!K27</f>
        <v>-1.1963863432973867E-2</v>
      </c>
      <c r="BQ41" s="256">
        <f>BD41-ParâmeetrosTRU!AQ41-'Matriz consumo'!L27</f>
        <v>-1.4238968015283059E-2</v>
      </c>
      <c r="BR41" s="256">
        <f>BE41-ParâmeetrosTRU!AR41-'Matriz consumo'!M27</f>
        <v>-0.12304091828294339</v>
      </c>
      <c r="BS41" s="256">
        <f>BF41-ParâmeetrosTRU!AS41-'Matriz consumo'!N27</f>
        <v>-5.8529387878502488E-2</v>
      </c>
      <c r="BU41" s="54">
        <v>1.4312586198891055</v>
      </c>
      <c r="BV41" s="54">
        <v>1.3054817390612694</v>
      </c>
      <c r="BW41" s="54">
        <v>3.4224756554709495</v>
      </c>
      <c r="BX41" s="54">
        <v>1.1011721987315366</v>
      </c>
      <c r="BY41" s="54">
        <v>1.381125398333034</v>
      </c>
      <c r="BZ41" s="54">
        <v>13.741392272945612</v>
      </c>
      <c r="CA41" s="54">
        <v>2.1192819230253135</v>
      </c>
      <c r="CB41" s="54">
        <v>0.79384157903821673</v>
      </c>
      <c r="CC41" s="54">
        <v>0.55152019890938619</v>
      </c>
      <c r="CD41" s="54">
        <v>0.4789293120247628</v>
      </c>
      <c r="CE41" s="54">
        <v>1.1846347194782307</v>
      </c>
      <c r="CF41" s="54">
        <v>0.44829910614706048</v>
      </c>
      <c r="CH41" s="248">
        <v>6468661.9999999991</v>
      </c>
      <c r="CI41" s="248">
        <f>Original!AF41</f>
        <v>6468662</v>
      </c>
      <c r="CK41" s="248">
        <v>3177585</v>
      </c>
      <c r="CL41" s="248">
        <v>2148704.9999999995</v>
      </c>
    </row>
    <row r="42" spans="1:90" s="54" customFormat="1" ht="10.15" customHeight="1">
      <c r="A42" s="205" t="s">
        <v>509</v>
      </c>
      <c r="B42" s="192">
        <f>AF42</f>
        <v>532995.99999999977</v>
      </c>
      <c r="C42" s="192"/>
      <c r="D42" s="192"/>
      <c r="E42" s="192"/>
      <c r="F42" s="192"/>
      <c r="G42" s="192"/>
      <c r="H42" s="192"/>
      <c r="I42" s="192"/>
      <c r="J42" s="192"/>
      <c r="K42" s="248">
        <f>K$24*ParâmeetrosTRU!K42</f>
        <v>19060</v>
      </c>
      <c r="L42" s="248">
        <f>L$24*ParâmeetrosTRU!L42</f>
        <v>4164.9999999999991</v>
      </c>
      <c r="M42" s="248">
        <f>M$24*ParâmeetrosTRU!M42</f>
        <v>57561.999999999993</v>
      </c>
      <c r="N42" s="248">
        <f>N$24*ParâmeetrosTRU!N42</f>
        <v>142662.99999999994</v>
      </c>
      <c r="O42" s="248">
        <f>O$24*ParâmeetrosTRU!O42</f>
        <v>1100.0000000000005</v>
      </c>
      <c r="P42" s="248">
        <f>P$24*ParâmeetrosTRU!P42</f>
        <v>35517.999999999993</v>
      </c>
      <c r="Q42" s="248">
        <f>Q$24*ParâmeetrosTRU!Q42</f>
        <v>5221.9999999999973</v>
      </c>
      <c r="R42" s="248">
        <f>R$24*ParâmeetrosTRU!R42</f>
        <v>4433.9999999999991</v>
      </c>
      <c r="S42" s="248">
        <f>S$24*ParâmeetrosTRU!S42</f>
        <v>3646.9999999999986</v>
      </c>
      <c r="T42" s="248">
        <f>T$24*ParâmeetrosTRU!T42</f>
        <v>1676.0000000000005</v>
      </c>
      <c r="U42" s="248">
        <f>U$24*ParâmeetrosTRU!U42</f>
        <v>44360</v>
      </c>
      <c r="V42" s="248">
        <f>V$24*ParâmeetrosTRU!V42</f>
        <v>27071</v>
      </c>
      <c r="W42" s="192">
        <f t="shared" si="2"/>
        <v>346477.99999999994</v>
      </c>
      <c r="X42" s="191"/>
      <c r="Y42" s="232"/>
      <c r="Z42" s="232"/>
      <c r="AA42" s="232"/>
      <c r="AB42" s="232"/>
      <c r="AC42" s="232"/>
      <c r="AD42" s="248"/>
      <c r="AE42" s="248">
        <f>SimulCEI!X30</f>
        <v>-58</v>
      </c>
      <c r="AF42" s="248">
        <f t="shared" si="4"/>
        <v>532995.99999999977</v>
      </c>
      <c r="AH42" s="232">
        <f>ParâmeetrosTRU!AH42</f>
        <v>2.0298427351119128E-2</v>
      </c>
      <c r="AI42" s="232">
        <f>ParâmeetrosTRU!AI42</f>
        <v>8.7750531454299143E-3</v>
      </c>
      <c r="AJ42" s="232">
        <f>ParâmeetrosTRU!AJ42</f>
        <v>8.898594485227394E-3</v>
      </c>
      <c r="AK42" s="232">
        <f>ParâmeetrosTRU!AK42</f>
        <v>0.26766242148158709</v>
      </c>
      <c r="AL42" s="232">
        <f>ParâmeetrosTRU!AL42</f>
        <v>1.6099194454852004E-3</v>
      </c>
      <c r="AM42" s="232">
        <f>ParâmeetrosTRU!AM42</f>
        <v>0.25237144460944883</v>
      </c>
      <c r="AN42" s="232">
        <f>ParâmeetrosTRU!AN42</f>
        <v>9.1890027591643667E-3</v>
      </c>
      <c r="AO42" s="232">
        <f>ParâmeetrosTRU!AO42</f>
        <v>8.27947813519413E-3</v>
      </c>
      <c r="AP42" s="232">
        <f>ParâmeetrosTRU!AP42</f>
        <v>4.5583169598888106E-3</v>
      </c>
      <c r="AQ42" s="232">
        <f>ParâmeetrosTRU!AQ42</f>
        <v>2.1133997868946516E-3</v>
      </c>
      <c r="AR42" s="232">
        <f>ParâmeetrosTRU!AR42</f>
        <v>2.0871777836957352E-2</v>
      </c>
      <c r="AS42" s="232">
        <f>ParâmeetrosTRU!AS42</f>
        <v>1.8474954633275118E-2</v>
      </c>
      <c r="AX42" s="54">
        <v>1</v>
      </c>
      <c r="BH42" s="256">
        <f>AU42-ParâmeetrosTRU!AH42-'Matriz consumo'!C28</f>
        <v>-2.0298427351119128E-2</v>
      </c>
      <c r="BI42" s="256">
        <f>AV42-ParâmeetrosTRU!AI42-'Matriz consumo'!D28</f>
        <v>-8.7750531454299143E-3</v>
      </c>
      <c r="BJ42" s="256">
        <f>AW42-ParâmeetrosTRU!AJ42-'Matriz consumo'!E28</f>
        <v>-8.898594485227394E-3</v>
      </c>
      <c r="BK42" s="256">
        <f>AX42-ParâmeetrosTRU!AK42-'Matriz consumo'!F28</f>
        <v>0.38228617100315959</v>
      </c>
      <c r="BL42" s="256">
        <f>AY42-ParâmeetrosTRU!AL42-'Matriz consumo'!G28</f>
        <v>-1.6099194454852004E-3</v>
      </c>
      <c r="BM42" s="256">
        <f>AZ42-ParâmeetrosTRU!AM42-'Matriz consumo'!H28</f>
        <v>-0.25237144460944883</v>
      </c>
      <c r="BN42" s="256">
        <f>BA42-ParâmeetrosTRU!AN42-'Matriz consumo'!I28</f>
        <v>-9.1890027591643667E-3</v>
      </c>
      <c r="BO42" s="256">
        <f>BB42-ParâmeetrosTRU!AO42-'Matriz consumo'!J28</f>
        <v>-8.27947813519413E-3</v>
      </c>
      <c r="BP42" s="256">
        <f>BC42-ParâmeetrosTRU!AP42-'Matriz consumo'!K28</f>
        <v>-4.5583169598888106E-3</v>
      </c>
      <c r="BQ42" s="256">
        <f>BD42-ParâmeetrosTRU!AQ42-'Matriz consumo'!L28</f>
        <v>-2.1133997868946516E-3</v>
      </c>
      <c r="BR42" s="256">
        <f>BE42-ParâmeetrosTRU!AR42-'Matriz consumo'!M28</f>
        <v>-2.0871777836957352E-2</v>
      </c>
      <c r="BS42" s="256">
        <f>BF42-ParâmeetrosTRU!AS42-'Matriz consumo'!N28</f>
        <v>-1.8474954633275118E-2</v>
      </c>
      <c r="BU42" s="54">
        <v>0.15323051632738227</v>
      </c>
      <c r="BV42" s="54">
        <v>0.12856426724074224</v>
      </c>
      <c r="BW42" s="54">
        <v>0.17542417276759742</v>
      </c>
      <c r="BX42" s="54">
        <v>2.7131232488080133</v>
      </c>
      <c r="BY42" s="54">
        <v>8.479800261015448E-2</v>
      </c>
      <c r="BZ42" s="54">
        <v>2.5945323824277873</v>
      </c>
      <c r="CA42" s="54">
        <v>0.2160947561291173</v>
      </c>
      <c r="CB42" s="54">
        <v>0.13906996734400526</v>
      </c>
      <c r="CC42" s="54">
        <v>0.10872922140216121</v>
      </c>
      <c r="CD42" s="54">
        <v>7.9265281008105565E-2</v>
      </c>
      <c r="CE42" s="54">
        <v>0.2037224409779719</v>
      </c>
      <c r="CF42" s="54">
        <v>9.6737230978050356E-2</v>
      </c>
      <c r="CH42" s="248">
        <v>532995.99999999977</v>
      </c>
      <c r="CI42" s="248">
        <f>Original!AF42</f>
        <v>532996</v>
      </c>
      <c r="CK42" s="248">
        <v>346477.99999999994</v>
      </c>
      <c r="CL42" s="248">
        <v>186575.99999999991</v>
      </c>
    </row>
    <row r="43" spans="1:90" s="54" customFormat="1" ht="10.15" customHeight="1">
      <c r="A43" s="205" t="s">
        <v>475</v>
      </c>
      <c r="B43" s="192">
        <f t="shared" si="3"/>
        <v>683264.00000000035</v>
      </c>
      <c r="C43" s="192"/>
      <c r="D43" s="192"/>
      <c r="E43" s="192"/>
      <c r="F43" s="192"/>
      <c r="G43" s="192"/>
      <c r="H43" s="192"/>
      <c r="I43" s="192"/>
      <c r="J43" s="192"/>
      <c r="K43" s="248">
        <f>K$24*ParâmeetrosTRU!K43</f>
        <v>346</v>
      </c>
      <c r="L43" s="248">
        <f>L$24*ParâmeetrosTRU!L43</f>
        <v>7039.9999999999982</v>
      </c>
      <c r="M43" s="248">
        <f>M$24*ParâmeetrosTRU!M43</f>
        <v>3482.9999999999995</v>
      </c>
      <c r="N43" s="248">
        <f>N$24*ParâmeetrosTRU!N43</f>
        <v>6089.9999999999973</v>
      </c>
      <c r="O43" s="248">
        <f>O$24*ParâmeetrosTRU!O43</f>
        <v>64476.000000000029</v>
      </c>
      <c r="P43" s="248">
        <f>P$24*ParâmeetrosTRU!P43</f>
        <v>1280.9999999999995</v>
      </c>
      <c r="Q43" s="248">
        <f>Q$24*ParâmeetrosTRU!Q43</f>
        <v>2107.9999999999991</v>
      </c>
      <c r="R43" s="248">
        <f>R$24*ParâmeetrosTRU!R43</f>
        <v>5075.9999999999991</v>
      </c>
      <c r="S43" s="248">
        <f>S$24*ParâmeetrosTRU!S43</f>
        <v>1155.9999999999995</v>
      </c>
      <c r="T43" s="248">
        <f>T$24*ParâmeetrosTRU!T43</f>
        <v>2074.0000000000005</v>
      </c>
      <c r="U43" s="248">
        <f>U$24*ParâmeetrosTRU!U43</f>
        <v>5894</v>
      </c>
      <c r="V43" s="248">
        <f>V$24*ParâmeetrosTRU!V43</f>
        <v>24150</v>
      </c>
      <c r="W43" s="192">
        <f t="shared" si="2"/>
        <v>123174.00000000003</v>
      </c>
      <c r="X43" s="191"/>
      <c r="Y43" s="232"/>
      <c r="Z43" s="232"/>
      <c r="AA43" s="232"/>
      <c r="AB43" s="232"/>
      <c r="AC43" s="232"/>
      <c r="AD43" s="248"/>
      <c r="AE43" s="248">
        <f>SimulCEI!X31</f>
        <v>560090</v>
      </c>
      <c r="AF43" s="248">
        <f t="shared" si="4"/>
        <v>683264.00000000035</v>
      </c>
      <c r="AH43" s="232">
        <f>ParâmeetrosTRU!AH43</f>
        <v>3.6848141991013741E-4</v>
      </c>
      <c r="AI43" s="232">
        <f>ParâmeetrosTRU!AI43</f>
        <v>1.4832262699598222E-2</v>
      </c>
      <c r="AJ43" s="232">
        <f>ParâmeetrosTRU!AJ43</f>
        <v>5.384421075022934E-4</v>
      </c>
      <c r="AK43" s="232">
        <f>ParâmeetrosTRU!AK43</f>
        <v>1.1425976930408484E-2</v>
      </c>
      <c r="AL43" s="232">
        <f>ParâmeetrosTRU!AL43</f>
        <v>9.4364696515548893E-2</v>
      </c>
      <c r="AM43" s="232">
        <f>ParâmeetrosTRU!AM43</f>
        <v>9.1020840290755092E-3</v>
      </c>
      <c r="AN43" s="232">
        <f>ParâmeetrosTRU!AN43</f>
        <v>3.7093867897967227E-3</v>
      </c>
      <c r="AO43" s="232">
        <f>ParâmeetrosTRU!AO43</f>
        <v>9.4782659030774492E-3</v>
      </c>
      <c r="AP43" s="232">
        <f>ParâmeetrosTRU!AP43</f>
        <v>1.4448627380398862E-3</v>
      </c>
      <c r="AQ43" s="232">
        <f>ParâmeetrosTRU!AQ43</f>
        <v>2.6152691873624744E-3</v>
      </c>
      <c r="AR43" s="232">
        <f>ParâmeetrosTRU!AR43</f>
        <v>2.7731798595813035E-3</v>
      </c>
      <c r="AS43" s="232">
        <f>ParâmeetrosTRU!AS43</f>
        <v>1.6481480344043224E-2</v>
      </c>
      <c r="AY43" s="54">
        <v>1</v>
      </c>
      <c r="BH43" s="256">
        <f>AU43-ParâmeetrosTRU!AH43-'Matriz consumo'!C29</f>
        <v>-3.6848141991013741E-4</v>
      </c>
      <c r="BI43" s="256">
        <f>AV43-ParâmeetrosTRU!AI43-'Matriz consumo'!D29</f>
        <v>-1.4832262699598222E-2</v>
      </c>
      <c r="BJ43" s="256">
        <f>AW43-ParâmeetrosTRU!AJ43-'Matriz consumo'!E29</f>
        <v>-5.384421075022934E-4</v>
      </c>
      <c r="BK43" s="256">
        <f>AX43-ParâmeetrosTRU!AK43-'Matriz consumo'!F29</f>
        <v>-1.1425976930408484E-2</v>
      </c>
      <c r="BL43" s="256">
        <f>AY43-ParâmeetrosTRU!AL43-'Matriz consumo'!G29</f>
        <v>0.90563530348445109</v>
      </c>
      <c r="BM43" s="256">
        <f>AZ43-ParâmeetrosTRU!AM43-'Matriz consumo'!H29</f>
        <v>-9.1020840290755092E-3</v>
      </c>
      <c r="BN43" s="256">
        <f>BA43-ParâmeetrosTRU!AN43-'Matriz consumo'!I29</f>
        <v>-3.7093867897967227E-3</v>
      </c>
      <c r="BO43" s="256">
        <f>BB43-ParâmeetrosTRU!AO43-'Matriz consumo'!J29</f>
        <v>-9.4782659030774492E-3</v>
      </c>
      <c r="BP43" s="256">
        <f>BC43-ParâmeetrosTRU!AP43-'Matriz consumo'!K29</f>
        <v>-1.4448627380398862E-3</v>
      </c>
      <c r="BQ43" s="256">
        <f>BD43-ParâmeetrosTRU!AQ43-'Matriz consumo'!L29</f>
        <v>-2.6152691873624744E-3</v>
      </c>
      <c r="BR43" s="256">
        <f>BE43-ParâmeetrosTRU!AR43-'Matriz consumo'!M29</f>
        <v>-2.7731798595813035E-3</v>
      </c>
      <c r="BS43" s="256">
        <f>BF43-ParâmeetrosTRU!AS43-'Matriz consumo'!N29</f>
        <v>-1.6481480344043224E-2</v>
      </c>
      <c r="BU43" s="54">
        <v>6.9334268846303693E-3</v>
      </c>
      <c r="BV43" s="54">
        <v>2.4918184220831831E-2</v>
      </c>
      <c r="BW43" s="54">
        <v>1.1318006663800258E-2</v>
      </c>
      <c r="BX43" s="54">
        <v>4.1389699135552509E-2</v>
      </c>
      <c r="BY43" s="54">
        <v>1.1099578697180086</v>
      </c>
      <c r="BZ43" s="54">
        <v>0.1545303604318275</v>
      </c>
      <c r="CA43" s="54">
        <v>1.9285769356523749E-2</v>
      </c>
      <c r="CB43" s="54">
        <v>2.5480331173011201E-2</v>
      </c>
      <c r="CC43" s="54">
        <v>1.2508415072113548E-2</v>
      </c>
      <c r="CD43" s="54">
        <v>2.0591540484698242E-2</v>
      </c>
      <c r="CE43" s="54">
        <v>1.5979684567364438E-2</v>
      </c>
      <c r="CF43" s="54">
        <v>2.2934288586479813E-2</v>
      </c>
      <c r="CH43" s="248">
        <v>683264.00000000035</v>
      </c>
      <c r="CI43" s="248">
        <f>Original!AF43</f>
        <v>683264</v>
      </c>
      <c r="CK43" s="248">
        <v>123174.00000000003</v>
      </c>
      <c r="CL43" s="248">
        <v>0</v>
      </c>
    </row>
    <row r="44" spans="1:90" s="54" customFormat="1" ht="10.15" customHeight="1">
      <c r="A44" s="205" t="s">
        <v>476</v>
      </c>
      <c r="B44" s="192">
        <f t="shared" si="3"/>
        <v>140736.99999999994</v>
      </c>
      <c r="C44" s="192"/>
      <c r="D44" s="192"/>
      <c r="E44" s="192"/>
      <c r="F44" s="192"/>
      <c r="G44" s="192"/>
      <c r="H44" s="192"/>
      <c r="I44" s="192"/>
      <c r="J44" s="192"/>
      <c r="K44" s="248">
        <f>K$24*ParâmeetrosTRU!K44</f>
        <v>353</v>
      </c>
      <c r="L44" s="248">
        <f>L$24*ParâmeetrosTRU!L44</f>
        <v>2485.9999999999995</v>
      </c>
      <c r="M44" s="248">
        <f>M$24*ParâmeetrosTRU!M44</f>
        <v>43752.999999999993</v>
      </c>
      <c r="N44" s="248">
        <f>N$24*ParâmeetrosTRU!N44</f>
        <v>1299.9999999999993</v>
      </c>
      <c r="O44" s="248">
        <f>O$24*ParâmeetrosTRU!O44</f>
        <v>493.00000000000017</v>
      </c>
      <c r="P44" s="248">
        <f>P$24*ParâmeetrosTRU!P44</f>
        <v>12403.999999999996</v>
      </c>
      <c r="Q44" s="248">
        <f>Q$24*ParâmeetrosTRU!Q44</f>
        <v>8466.9999999999964</v>
      </c>
      <c r="R44" s="248">
        <f>R$24*ParâmeetrosTRU!R44</f>
        <v>3710.9999999999995</v>
      </c>
      <c r="S44" s="248">
        <f>S$24*ParâmeetrosTRU!S44</f>
        <v>145.99999999999994</v>
      </c>
      <c r="T44" s="248">
        <f>T$24*ParâmeetrosTRU!T44</f>
        <v>25.000000000000004</v>
      </c>
      <c r="U44" s="248">
        <f>U$24*ParâmeetrosTRU!U44</f>
        <v>3481</v>
      </c>
      <c r="V44" s="248">
        <f>V$24*ParâmeetrosTRU!V44</f>
        <v>3530</v>
      </c>
      <c r="W44" s="192">
        <f t="shared" si="2"/>
        <v>80148.999999999985</v>
      </c>
      <c r="X44" s="191"/>
      <c r="Y44" s="232"/>
      <c r="Z44" s="232"/>
      <c r="AA44" s="232"/>
      <c r="AB44" s="232"/>
      <c r="AC44" s="232"/>
      <c r="AD44" s="248"/>
      <c r="AE44" s="248">
        <f>SimulCEI!X32</f>
        <v>4676</v>
      </c>
      <c r="AF44" s="248">
        <f t="shared" si="4"/>
        <v>140736.99999999994</v>
      </c>
      <c r="AH44" s="232">
        <f>ParâmeetrosTRU!AH44</f>
        <v>3.7593624632450436E-4</v>
      </c>
      <c r="AI44" s="232">
        <f>ParâmeetrosTRU!AI44</f>
        <v>5.237642765795622E-3</v>
      </c>
      <c r="AJ44" s="232">
        <f>ParâmeetrosTRU!AJ44</f>
        <v>6.763840806645949E-3</v>
      </c>
      <c r="AK44" s="232">
        <f>ParâmeetrosTRU!AK44</f>
        <v>2.4390426945042737E-3</v>
      </c>
      <c r="AL44" s="232">
        <f>ParâmeetrosTRU!AL44</f>
        <v>7.215366242038216E-4</v>
      </c>
      <c r="AM44" s="232">
        <f>ParâmeetrosTRU!AM44</f>
        <v>8.8136026773343187E-2</v>
      </c>
      <c r="AN44" s="232">
        <f>ParâmeetrosTRU!AN44</f>
        <v>1.4899135649529816E-2</v>
      </c>
      <c r="AO44" s="232">
        <f>ParâmeetrosTRU!AO44</f>
        <v>6.929441443325534E-3</v>
      </c>
      <c r="AP44" s="232">
        <f>ParâmeetrosTRU!AP44</f>
        <v>1.8248266414690604E-4</v>
      </c>
      <c r="AQ44" s="232">
        <f>ParâmeetrosTRU!AQ44</f>
        <v>3.1524459828380842E-5</v>
      </c>
      <c r="AR44" s="232">
        <f>ParâmeetrosTRU!AR44</f>
        <v>1.637841718901004E-3</v>
      </c>
      <c r="AS44" s="232">
        <f>ParâmeetrosTRU!AS44</f>
        <v>2.4090942283425498E-3</v>
      </c>
      <c r="AZ44" s="54">
        <v>1</v>
      </c>
      <c r="BH44" s="256">
        <f>AU44-ParâmeetrosTRU!AH44-'Matriz consumo'!C30</f>
        <v>-3.7593624632450436E-4</v>
      </c>
      <c r="BI44" s="256">
        <f>AV44-ParâmeetrosTRU!AI44-'Matriz consumo'!D30</f>
        <v>-5.237642765795622E-3</v>
      </c>
      <c r="BJ44" s="256">
        <f>AW44-ParâmeetrosTRU!AJ44-'Matriz consumo'!E30</f>
        <v>-6.763840806645949E-3</v>
      </c>
      <c r="BK44" s="256">
        <f>AX44-ParâmeetrosTRU!AK44-'Matriz consumo'!F30</f>
        <v>-2.4390426945042737E-3</v>
      </c>
      <c r="BL44" s="256">
        <f>AY44-ParâmeetrosTRU!AL44-'Matriz consumo'!G30</f>
        <v>-7.215366242038216E-4</v>
      </c>
      <c r="BM44" s="256">
        <f>AZ44-ParâmeetrosTRU!AM44-'Matriz consumo'!H30</f>
        <v>0.51458394025735954</v>
      </c>
      <c r="BN44" s="256">
        <f>BA44-ParâmeetrosTRU!AN44-'Matriz consumo'!I30</f>
        <v>-1.4899135649529816E-2</v>
      </c>
      <c r="BO44" s="256">
        <f>BB44-ParâmeetrosTRU!AO44-'Matriz consumo'!J30</f>
        <v>-6.929441443325534E-3</v>
      </c>
      <c r="BP44" s="256">
        <f>BC44-ParâmeetrosTRU!AP44-'Matriz consumo'!K30</f>
        <v>-1.8248266414690604E-4</v>
      </c>
      <c r="BQ44" s="256">
        <f>BD44-ParâmeetrosTRU!AQ44-'Matriz consumo'!L30</f>
        <v>-3.1524459828380842E-5</v>
      </c>
      <c r="BR44" s="256">
        <f>BE44-ParâmeetrosTRU!AR44-'Matriz consumo'!M30</f>
        <v>-1.637841718901004E-3</v>
      </c>
      <c r="BS44" s="256">
        <f>BF44-ParâmeetrosTRU!AS44-'Matriz consumo'!N30</f>
        <v>-2.4090942283425498E-3</v>
      </c>
      <c r="BU44" s="54">
        <v>2.6278062947643874E-2</v>
      </c>
      <c r="BV44" s="54">
        <v>3.8412554265482096E-2</v>
      </c>
      <c r="BW44" s="54">
        <v>5.626294308911628E-2</v>
      </c>
      <c r="BX44" s="54">
        <v>3.5802437900300799E-2</v>
      </c>
      <c r="BY44" s="54">
        <v>2.5467086576681192E-2</v>
      </c>
      <c r="BZ44" s="54">
        <v>2.2783681181690372</v>
      </c>
      <c r="CA44" s="54">
        <v>8.4864220351271544E-2</v>
      </c>
      <c r="CB44" s="54">
        <v>4.0413541428394102E-2</v>
      </c>
      <c r="CC44" s="54">
        <v>1.7124142649890272E-2</v>
      </c>
      <c r="CD44" s="54">
        <v>1.1010123254616758E-2</v>
      </c>
      <c r="CE44" s="54">
        <v>3.1295760599772682E-2</v>
      </c>
      <c r="CF44" s="54">
        <v>1.5206243440321704E-2</v>
      </c>
      <c r="CH44" s="248">
        <v>140736.99999999994</v>
      </c>
      <c r="CI44" s="248">
        <f>Original!AF44</f>
        <v>140737</v>
      </c>
      <c r="CK44" s="248">
        <v>80148.999999999985</v>
      </c>
      <c r="CL44" s="248">
        <v>55911.999999999971</v>
      </c>
    </row>
    <row r="45" spans="1:90" s="54" customFormat="1" ht="10.15" customHeight="1">
      <c r="A45" s="205" t="s">
        <v>477</v>
      </c>
      <c r="B45" s="192">
        <f t="shared" si="3"/>
        <v>568287.99999999977</v>
      </c>
      <c r="C45" s="192"/>
      <c r="D45" s="192"/>
      <c r="E45" s="192"/>
      <c r="F45" s="192"/>
      <c r="G45" s="192"/>
      <c r="H45" s="192"/>
      <c r="I45" s="192"/>
      <c r="J45" s="192"/>
      <c r="K45" s="248">
        <f>K$24*ParâmeetrosTRU!K45</f>
        <v>12899.999999999998</v>
      </c>
      <c r="L45" s="248">
        <f>L$24*ParâmeetrosTRU!L45</f>
        <v>36579.999999999993</v>
      </c>
      <c r="M45" s="248">
        <f>M$24*ParâmeetrosTRU!M45</f>
        <v>150872.99999999997</v>
      </c>
      <c r="N45" s="248">
        <f>N$24*ParâmeetrosTRU!N45</f>
        <v>5228.9999999999973</v>
      </c>
      <c r="O45" s="248">
        <f>O$24*ParâmeetrosTRU!O45</f>
        <v>3050.0000000000014</v>
      </c>
      <c r="P45" s="248">
        <f>P$24*ParâmeetrosTRU!P45</f>
        <v>81865.999999999971</v>
      </c>
      <c r="Q45" s="248">
        <f>Q$24*ParâmeetrosTRU!Q45</f>
        <v>90332.999999999971</v>
      </c>
      <c r="R45" s="248">
        <f>R$24*ParâmeetrosTRU!R45</f>
        <v>2761.9999999999995</v>
      </c>
      <c r="S45" s="248">
        <f>S$24*ParâmeetrosTRU!S45</f>
        <v>5946.9999999999982</v>
      </c>
      <c r="T45" s="248">
        <f>T$24*ParâmeetrosTRU!T45</f>
        <v>329.00000000000006</v>
      </c>
      <c r="U45" s="248">
        <f>U$24*ParâmeetrosTRU!U45</f>
        <v>22063</v>
      </c>
      <c r="V45" s="248">
        <f>V$24*ParâmeetrosTRU!V45</f>
        <v>12154</v>
      </c>
      <c r="W45" s="192">
        <f t="shared" si="2"/>
        <v>424085.99999999988</v>
      </c>
      <c r="X45" s="191"/>
      <c r="Y45" s="232"/>
      <c r="Z45" s="232"/>
      <c r="AA45" s="232"/>
      <c r="AB45" s="232"/>
      <c r="AC45" s="232"/>
      <c r="AD45" s="248"/>
      <c r="AE45" s="248">
        <f>SimulCEI!X33</f>
        <v>34419</v>
      </c>
      <c r="AF45" s="248">
        <f t="shared" si="4"/>
        <v>568287.99999999977</v>
      </c>
      <c r="AH45" s="232">
        <f>ParâmeetrosTRU!AH45</f>
        <v>1.3738180106476221E-2</v>
      </c>
      <c r="AI45" s="232">
        <f>ParâmeetrosTRU!AI45</f>
        <v>7.7068774083991903E-2</v>
      </c>
      <c r="AJ45" s="232">
        <f>ParâmeetrosTRU!AJ45</f>
        <v>2.3323679611023114E-2</v>
      </c>
      <c r="AK45" s="232">
        <f>ParâmeetrosTRU!AK45</f>
        <v>9.8105801919714224E-3</v>
      </c>
      <c r="AL45" s="232">
        <f>ParâmeetrosTRU!AL45</f>
        <v>4.4638675533907827E-3</v>
      </c>
      <c r="AM45" s="232">
        <f>ParâmeetrosTRU!AM45</f>
        <v>0.58169493452325971</v>
      </c>
      <c r="AN45" s="232">
        <f>ParâmeetrosTRU!AN45</f>
        <v>0.15895637423278339</v>
      </c>
      <c r="AO45" s="232">
        <f>ParâmeetrosTRU!AO45</f>
        <v>5.1574015808313464E-3</v>
      </c>
      <c r="AP45" s="232">
        <f>ParâmeetrosTRU!AP45</f>
        <v>7.433043860833221E-3</v>
      </c>
      <c r="AQ45" s="232">
        <f>ParâmeetrosTRU!AQ45</f>
        <v>4.1486189134149186E-4</v>
      </c>
      <c r="AR45" s="232">
        <f>ParâmeetrosTRU!AR45</f>
        <v>1.0380839369179216E-2</v>
      </c>
      <c r="AS45" s="232">
        <f>ParâmeetrosTRU!AS45</f>
        <v>8.2946547454037824E-3</v>
      </c>
      <c r="BA45" s="54">
        <v>1</v>
      </c>
      <c r="BH45" s="256">
        <f>AU45-ParâmeetrosTRU!AH45-'Matriz consumo'!C31</f>
        <v>-1.3738180106476221E-2</v>
      </c>
      <c r="BI45" s="256">
        <f>AV45-ParâmeetrosTRU!AI45-'Matriz consumo'!D31</f>
        <v>-7.7068774083991903E-2</v>
      </c>
      <c r="BJ45" s="256">
        <f>AW45-ParâmeetrosTRU!AJ45-'Matriz consumo'!E31</f>
        <v>-2.3323679611023114E-2</v>
      </c>
      <c r="BK45" s="256">
        <f>AX45-ParâmeetrosTRU!AK45-'Matriz consumo'!F31</f>
        <v>-9.8105801919714224E-3</v>
      </c>
      <c r="BL45" s="256">
        <f>AY45-ParâmeetrosTRU!AL45-'Matriz consumo'!G31</f>
        <v>-4.4638675533907827E-3</v>
      </c>
      <c r="BM45" s="256">
        <f>AZ45-ParâmeetrosTRU!AM45-'Matriz consumo'!H31</f>
        <v>-0.58169493452325971</v>
      </c>
      <c r="BN45" s="256">
        <f>BA45-ParâmeetrosTRU!AN45-'Matriz consumo'!I31</f>
        <v>0.64786164761529363</v>
      </c>
      <c r="BO45" s="256">
        <f>BB45-ParâmeetrosTRU!AO45-'Matriz consumo'!J31</f>
        <v>-5.1574015808313464E-3</v>
      </c>
      <c r="BP45" s="256">
        <f>BC45-ParâmeetrosTRU!AP45-'Matriz consumo'!K31</f>
        <v>-7.433043860833221E-3</v>
      </c>
      <c r="BQ45" s="256">
        <f>BD45-ParâmeetrosTRU!AQ45-'Matriz consumo'!L31</f>
        <v>-4.1486189134149186E-4</v>
      </c>
      <c r="BR45" s="256">
        <f>BE45-ParâmeetrosTRU!AR45-'Matriz consumo'!M31</f>
        <v>-1.0380839369179216E-2</v>
      </c>
      <c r="BS45" s="256">
        <f>BF45-ParâmeetrosTRU!AS45-'Matriz consumo'!N31</f>
        <v>-8.2946547454037824E-3</v>
      </c>
      <c r="BU45" s="54">
        <v>0.12207822914137655</v>
      </c>
      <c r="BV45" s="54">
        <v>0.22670454163552542</v>
      </c>
      <c r="BW45" s="54">
        <v>0.2082819833006862</v>
      </c>
      <c r="BX45" s="54">
        <v>0.14055637973387577</v>
      </c>
      <c r="BY45" s="54">
        <v>9.8746172376353539E-2</v>
      </c>
      <c r="BZ45" s="54">
        <v>2.8765210247767965</v>
      </c>
      <c r="CA45" s="54">
        <v>1.7316933103004462</v>
      </c>
      <c r="CB45" s="54">
        <v>0.1021527594564329</v>
      </c>
      <c r="CC45" s="54">
        <v>8.5464385297116433E-2</v>
      </c>
      <c r="CD45" s="54">
        <v>4.7774264818026636E-2</v>
      </c>
      <c r="CE45" s="54">
        <v>0.12594309338256415</v>
      </c>
      <c r="CF45" s="54">
        <v>5.5588906263525424E-2</v>
      </c>
      <c r="CH45" s="248">
        <v>568287.99999999977</v>
      </c>
      <c r="CI45" s="248">
        <f>Original!AF45</f>
        <v>568288</v>
      </c>
      <c r="CK45" s="248">
        <v>424085.99999999988</v>
      </c>
      <c r="CL45" s="248">
        <v>109782.99999999996</v>
      </c>
    </row>
    <row r="46" spans="1:90" s="54" customFormat="1" ht="10.15" customHeight="1">
      <c r="A46" s="205" t="s">
        <v>478</v>
      </c>
      <c r="B46" s="192">
        <f t="shared" si="3"/>
        <v>535540.99999999988</v>
      </c>
      <c r="C46" s="192"/>
      <c r="D46" s="192"/>
      <c r="E46" s="192"/>
      <c r="F46" s="192"/>
      <c r="G46" s="192"/>
      <c r="H46" s="192"/>
      <c r="I46" s="192"/>
      <c r="J46" s="192"/>
      <c r="K46" s="248">
        <f>K$24*ParâmeetrosTRU!K46</f>
        <v>63</v>
      </c>
      <c r="L46" s="248">
        <f>L$24*ParâmeetrosTRU!L46</f>
        <v>1830</v>
      </c>
      <c r="M46" s="248">
        <f>M$24*ParâmeetrosTRU!M46</f>
        <v>22245.999999999996</v>
      </c>
      <c r="N46" s="248">
        <f>N$24*ParâmeetrosTRU!N46</f>
        <v>3242.9999999999986</v>
      </c>
      <c r="O46" s="248">
        <f>O$24*ParâmeetrosTRU!O46</f>
        <v>1755.0000000000007</v>
      </c>
      <c r="P46" s="248">
        <f>P$24*ParâmeetrosTRU!P46</f>
        <v>25117.999999999993</v>
      </c>
      <c r="Q46" s="248">
        <f>Q$24*ParâmeetrosTRU!Q46</f>
        <v>6655.9999999999982</v>
      </c>
      <c r="R46" s="248">
        <f>R$24*ParâmeetrosTRU!R46</f>
        <v>56653.999999999993</v>
      </c>
      <c r="S46" s="248">
        <f>S$24*ParâmeetrosTRU!S46</f>
        <v>34168.999999999985</v>
      </c>
      <c r="T46" s="248">
        <f>T$24*ParâmeetrosTRU!T46</f>
        <v>1273.0000000000002</v>
      </c>
      <c r="U46" s="248">
        <f>U$24*ParâmeetrosTRU!U46</f>
        <v>77971</v>
      </c>
      <c r="V46" s="248">
        <f>V$24*ParâmeetrosTRU!V46</f>
        <v>37213</v>
      </c>
      <c r="W46" s="192">
        <f t="shared" si="2"/>
        <v>268190.99999999994</v>
      </c>
      <c r="X46" s="191"/>
      <c r="Y46" s="232"/>
      <c r="Z46" s="232"/>
      <c r="AA46" s="232"/>
      <c r="AB46" s="232"/>
      <c r="AC46" s="232"/>
      <c r="AD46" s="248"/>
      <c r="AE46" s="248">
        <f>SimulCEI!X34</f>
        <v>114740</v>
      </c>
      <c r="AF46" s="248">
        <f t="shared" si="4"/>
        <v>535540.99999999988</v>
      </c>
      <c r="AH46" s="232">
        <f>ParâmeetrosTRU!AH46</f>
        <v>6.7093437729302474E-5</v>
      </c>
      <c r="AI46" s="232">
        <f>ParâmeetrosTRU!AI46</f>
        <v>3.8555455596966971E-3</v>
      </c>
      <c r="AJ46" s="232">
        <f>ParâmeetrosTRU!AJ46</f>
        <v>3.4390419533436743E-3</v>
      </c>
      <c r="AK46" s="232">
        <f>ParâmeetrosTRU!AK46</f>
        <v>6.0844734294441235E-3</v>
      </c>
      <c r="AL46" s="232">
        <f>ParâmeetrosTRU!AL46</f>
        <v>2.5685532971150243E-3</v>
      </c>
      <c r="AM46" s="232">
        <f>ParâmeetrosTRU!AM46</f>
        <v>0.17847474367081861</v>
      </c>
      <c r="AN46" s="232">
        <f>ParâmeetrosTRU!AN46</f>
        <v>1.1712371192071625E-2</v>
      </c>
      <c r="AO46" s="232">
        <f>ParâmeetrosTRU!AO46</f>
        <v>0.10578835233903661</v>
      </c>
      <c r="AP46" s="232">
        <f>ParâmeetrosTRU!AP46</f>
        <v>4.2707192816682414E-2</v>
      </c>
      <c r="AQ46" s="232">
        <f>ParâmeetrosTRU!AQ46</f>
        <v>1.6052254944611524E-3</v>
      </c>
      <c r="AR46" s="232">
        <f>ParâmeetrosTRU!AR46</f>
        <v>3.6686054772890025E-2</v>
      </c>
      <c r="AS46" s="232">
        <f>ParâmeetrosTRU!AS46</f>
        <v>2.539649391481907E-2</v>
      </c>
      <c r="BB46" s="54">
        <v>1</v>
      </c>
      <c r="BH46" s="256">
        <f>AU46-ParâmeetrosTRU!AH46-'Matriz consumo'!C32</f>
        <v>-6.7093437729302474E-5</v>
      </c>
      <c r="BI46" s="256">
        <f>AV46-ParâmeetrosTRU!AI46-'Matriz consumo'!D32</f>
        <v>-3.8555455596966971E-3</v>
      </c>
      <c r="BJ46" s="256">
        <f>AW46-ParâmeetrosTRU!AJ46-'Matriz consumo'!E32</f>
        <v>-3.4390419533436743E-3</v>
      </c>
      <c r="BK46" s="256">
        <f>AX46-ParâmeetrosTRU!AK46-'Matriz consumo'!F32</f>
        <v>-6.0844734294441235E-3</v>
      </c>
      <c r="BL46" s="256">
        <f>AY46-ParâmeetrosTRU!AL46-'Matriz consumo'!G32</f>
        <v>-2.5685532971150243E-3</v>
      </c>
      <c r="BM46" s="256">
        <f>AZ46-ParâmeetrosTRU!AM46-'Matriz consumo'!H32</f>
        <v>-0.17847474367081861</v>
      </c>
      <c r="BN46" s="256">
        <f>BA46-ParâmeetrosTRU!AN46-'Matriz consumo'!I32</f>
        <v>-1.1712371192071625E-2</v>
      </c>
      <c r="BO46" s="256">
        <f>BB46-ParâmeetrosTRU!AO46-'Matriz consumo'!J32</f>
        <v>0.60924747124869993</v>
      </c>
      <c r="BP46" s="256">
        <f>BC46-ParâmeetrosTRU!AP46-'Matriz consumo'!K32</f>
        <v>-4.2707192816682414E-2</v>
      </c>
      <c r="BQ46" s="256">
        <f>BD46-ParâmeetrosTRU!AQ46-'Matriz consumo'!L32</f>
        <v>-1.6052254944611524E-3</v>
      </c>
      <c r="BR46" s="256">
        <f>BE46-ParâmeetrosTRU!AR46-'Matriz consumo'!M32</f>
        <v>-3.6686054772890025E-2</v>
      </c>
      <c r="BS46" s="256">
        <f>BF46-ParâmeetrosTRU!AS46-'Matriz consumo'!N32</f>
        <v>-2.539649391481907E-2</v>
      </c>
      <c r="BU46" s="54">
        <v>4.7752493093023221E-2</v>
      </c>
      <c r="BV46" s="54">
        <v>7.9355298615370676E-2</v>
      </c>
      <c r="BW46" s="54">
        <v>9.1000170563140428E-2</v>
      </c>
      <c r="BX46" s="54">
        <v>0.10048945784193865</v>
      </c>
      <c r="BY46" s="54">
        <v>5.2534732861913527E-2</v>
      </c>
      <c r="BZ46" s="54">
        <v>1.6347274898550539</v>
      </c>
      <c r="CA46" s="54">
        <v>0.15086517948906603</v>
      </c>
      <c r="CB46" s="54">
        <v>1.7286777089591268</v>
      </c>
      <c r="CC46" s="54">
        <v>0.24543609714067513</v>
      </c>
      <c r="CD46" s="54">
        <v>8.1122018202182331E-2</v>
      </c>
      <c r="CE46" s="54">
        <v>0.18766387089095143</v>
      </c>
      <c r="CF46" s="54">
        <v>8.4487591379068708E-2</v>
      </c>
      <c r="CH46" s="248">
        <v>535540.99999999988</v>
      </c>
      <c r="CI46" s="248">
        <f>Original!AF46</f>
        <v>535541</v>
      </c>
      <c r="CK46" s="248">
        <v>268191</v>
      </c>
      <c r="CL46" s="248">
        <v>152609.99999999994</v>
      </c>
    </row>
    <row r="47" spans="1:90" s="54" customFormat="1" ht="9.75" customHeight="1">
      <c r="A47" s="206" t="s">
        <v>479</v>
      </c>
      <c r="B47" s="192">
        <f t="shared" si="3"/>
        <v>800075.99999999977</v>
      </c>
      <c r="C47" s="192"/>
      <c r="D47" s="192"/>
      <c r="E47" s="192"/>
      <c r="F47" s="192"/>
      <c r="G47" s="192"/>
      <c r="H47" s="192"/>
      <c r="I47" s="192"/>
      <c r="J47" s="192"/>
      <c r="K47" s="248">
        <f>K$24*ParâmeetrosTRU!K47</f>
        <v>12145</v>
      </c>
      <c r="L47" s="248">
        <f>L$24*ParâmeetrosTRU!L47</f>
        <v>8823</v>
      </c>
      <c r="M47" s="248">
        <f>M$24*ParâmeetrosTRU!M47</f>
        <v>68104.999999999985</v>
      </c>
      <c r="N47" s="248">
        <f>N$24*ParâmeetrosTRU!N47</f>
        <v>11654.999999999995</v>
      </c>
      <c r="O47" s="248">
        <f>O$24*ParâmeetrosTRU!O47</f>
        <v>9620.0000000000036</v>
      </c>
      <c r="P47" s="248">
        <f>P$24*ParâmeetrosTRU!P47</f>
        <v>37997.999999999985</v>
      </c>
      <c r="Q47" s="248">
        <f>Q$24*ParâmeetrosTRU!Q47</f>
        <v>16728.999999999993</v>
      </c>
      <c r="R47" s="248">
        <f>R$24*ParâmeetrosTRU!R47</f>
        <v>14335</v>
      </c>
      <c r="S47" s="248">
        <f>S$24*ParâmeetrosTRU!S47</f>
        <v>111388.99999999997</v>
      </c>
      <c r="T47" s="248">
        <f>T$24*ParâmeetrosTRU!T47</f>
        <v>28083.000000000004</v>
      </c>
      <c r="U47" s="248">
        <f>U$24*ParâmeetrosTRU!U47</f>
        <v>31616</v>
      </c>
      <c r="V47" s="248">
        <f>V$24*ParâmeetrosTRU!V47</f>
        <v>60811</v>
      </c>
      <c r="W47" s="192">
        <f t="shared" si="2"/>
        <v>411308.99999999994</v>
      </c>
      <c r="X47" s="191"/>
      <c r="Y47" s="232"/>
      <c r="Z47" s="232"/>
      <c r="AA47" s="232"/>
      <c r="AB47" s="232"/>
      <c r="AC47" s="232"/>
      <c r="AD47" s="248"/>
      <c r="AE47" s="248">
        <f>SimulCEI!X35</f>
        <v>9108</v>
      </c>
      <c r="AF47" s="248">
        <f t="shared" si="4"/>
        <v>800075.99999999977</v>
      </c>
      <c r="AH47" s="232">
        <f>ParâmeetrosTRU!AH47</f>
        <v>1.2934123828926643E-2</v>
      </c>
      <c r="AI47" s="232">
        <f>ParâmeetrosTRU!AI47</f>
        <v>1.8588786050931123E-2</v>
      </c>
      <c r="AJ47" s="232">
        <f>ParâmeetrosTRU!AJ47</f>
        <v>1.0528452406386359E-2</v>
      </c>
      <c r="AK47" s="232">
        <f>ParâmeetrosTRU!AK47</f>
        <v>2.1866955849574855E-2</v>
      </c>
      <c r="AL47" s="232">
        <f>ParâmeetrosTRU!AL47</f>
        <v>1.4079477332334207E-2</v>
      </c>
      <c r="AM47" s="232">
        <f>ParâmeetrosTRU!AM47</f>
        <v>0.2699929656025068</v>
      </c>
      <c r="AN47" s="232">
        <f>ParâmeetrosTRU!AN47</f>
        <v>2.943753871276536E-2</v>
      </c>
      <c r="AO47" s="232">
        <f>ParâmeetrosTRU!AO47</f>
        <v>2.6767325004061315E-2</v>
      </c>
      <c r="AP47" s="232">
        <f>ParâmeetrosTRU!AP47</f>
        <v>0.1392230238127378</v>
      </c>
      <c r="AQ47" s="232">
        <f>ParâmeetrosTRU!AQ47</f>
        <v>3.5412056214416766E-2</v>
      </c>
      <c r="AR47" s="232">
        <f>ParâmeetrosTRU!AR47</f>
        <v>1.4875611544031641E-2</v>
      </c>
      <c r="AS47" s="232">
        <f>ParâmeetrosTRU!AS47</f>
        <v>4.1501254708141304E-2</v>
      </c>
      <c r="BC47" s="54">
        <v>1</v>
      </c>
      <c r="BH47" s="256">
        <f>AU47-ParâmeetrosTRU!AH47-'Matriz consumo'!C33</f>
        <v>-1.2934123828926643E-2</v>
      </c>
      <c r="BI47" s="256">
        <f>AV47-ParâmeetrosTRU!AI47-'Matriz consumo'!D33</f>
        <v>-1.8588786050931123E-2</v>
      </c>
      <c r="BJ47" s="256">
        <f>AW47-ParâmeetrosTRU!AJ47-'Matriz consumo'!E33</f>
        <v>-1.0528452406386359E-2</v>
      </c>
      <c r="BK47" s="256">
        <f>AX47-ParâmeetrosTRU!AK47-'Matriz consumo'!F33</f>
        <v>-2.1866955849574855E-2</v>
      </c>
      <c r="BL47" s="256">
        <f>AY47-ParâmeetrosTRU!AL47-'Matriz consumo'!G33</f>
        <v>-1.4079477332334207E-2</v>
      </c>
      <c r="BM47" s="256">
        <f>AZ47-ParâmeetrosTRU!AM47-'Matriz consumo'!H33</f>
        <v>-0.2699929656025068</v>
      </c>
      <c r="BN47" s="256">
        <f>BA47-ParâmeetrosTRU!AN47-'Matriz consumo'!I33</f>
        <v>-2.943753871276536E-2</v>
      </c>
      <c r="BO47" s="256">
        <f>BB47-ParâmeetrosTRU!AO47-'Matriz consumo'!J33</f>
        <v>-2.6767325004061315E-2</v>
      </c>
      <c r="BP47" s="256">
        <f>BC47-ParâmeetrosTRU!AP47-'Matriz consumo'!K33</f>
        <v>0.38624830641089097</v>
      </c>
      <c r="BQ47" s="256">
        <f>BD47-ParâmeetrosTRU!AQ47-'Matriz consumo'!L33</f>
        <v>-3.5412056214416766E-2</v>
      </c>
      <c r="BR47" s="256">
        <f>BE47-ParâmeetrosTRU!AR47-'Matriz consumo'!M33</f>
        <v>-1.4875611544031641E-2</v>
      </c>
      <c r="BS47" s="256">
        <f>BF47-ParâmeetrosTRU!AS47-'Matriz consumo'!N33</f>
        <v>-4.1501254708141304E-2</v>
      </c>
      <c r="BU47" s="54">
        <v>0.15362147344445287</v>
      </c>
      <c r="BV47" s="54">
        <v>0.18984006273125917</v>
      </c>
      <c r="BW47" s="54">
        <v>0.22394835564593349</v>
      </c>
      <c r="BX47" s="54">
        <v>0.27814824300833368</v>
      </c>
      <c r="BY47" s="54">
        <v>0.14361444280159411</v>
      </c>
      <c r="BZ47" s="54">
        <v>3.5015474132702895</v>
      </c>
      <c r="CA47" s="54">
        <v>0.35648647998411698</v>
      </c>
      <c r="CB47" s="54">
        <v>0.25133535037227023</v>
      </c>
      <c r="CC47" s="54">
        <v>2.7025190041654255</v>
      </c>
      <c r="CD47" s="54">
        <v>0.55481292822237094</v>
      </c>
      <c r="CE47" s="54">
        <v>0.22777670936724387</v>
      </c>
      <c r="CF47" s="54">
        <v>0.17311414695690114</v>
      </c>
      <c r="CH47" s="248">
        <v>800075.99999999977</v>
      </c>
      <c r="CI47" s="248">
        <f>Original!AF47</f>
        <v>800076</v>
      </c>
      <c r="CK47" s="248">
        <v>411308.99999999994</v>
      </c>
      <c r="CL47" s="248">
        <v>379658.99999999988</v>
      </c>
    </row>
    <row r="48" spans="1:90" s="54" customFormat="1" ht="10.15" customHeight="1">
      <c r="A48" s="205" t="s">
        <v>480</v>
      </c>
      <c r="B48" s="192">
        <f t="shared" si="3"/>
        <v>793035.00000000012</v>
      </c>
      <c r="C48" s="192"/>
      <c r="D48" s="192"/>
      <c r="E48" s="192"/>
      <c r="F48" s="192"/>
      <c r="G48" s="192"/>
      <c r="H48" s="192"/>
      <c r="I48" s="192"/>
      <c r="J48" s="192"/>
      <c r="K48" s="248">
        <f>K$24*ParâmeetrosTRU!K48</f>
        <v>27.000000000000004</v>
      </c>
      <c r="L48" s="248">
        <f>L$24*ParâmeetrosTRU!L48</f>
        <v>744.99999999999989</v>
      </c>
      <c r="M48" s="248">
        <f>M$24*ParâmeetrosTRU!M48</f>
        <v>8978.9999999999982</v>
      </c>
      <c r="N48" s="248">
        <f>N$24*ParâmeetrosTRU!N48</f>
        <v>1617.9999999999991</v>
      </c>
      <c r="O48" s="248">
        <f>O$24*ParâmeetrosTRU!O48</f>
        <v>1498.0000000000005</v>
      </c>
      <c r="P48" s="248">
        <f>P$24*ParâmeetrosTRU!P48</f>
        <v>59452.999999999978</v>
      </c>
      <c r="Q48" s="248">
        <f>Q$24*ParâmeetrosTRU!Q48</f>
        <v>6411.9999999999982</v>
      </c>
      <c r="R48" s="248">
        <f>R$24*ParâmeetrosTRU!R48</f>
        <v>6455.9999999999991</v>
      </c>
      <c r="S48" s="248">
        <f>S$24*ParâmeetrosTRU!S48</f>
        <v>6843.9999999999982</v>
      </c>
      <c r="T48" s="248">
        <f>T$24*ParâmeetrosTRU!T48</f>
        <v>2942.0000000000005</v>
      </c>
      <c r="U48" s="248">
        <f>U$24*ParâmeetrosTRU!U48</f>
        <v>45392</v>
      </c>
      <c r="V48" s="248">
        <f>V$24*ParâmeetrosTRU!V48</f>
        <v>4778</v>
      </c>
      <c r="W48" s="192">
        <f t="shared" si="2"/>
        <v>145143.99999999997</v>
      </c>
      <c r="X48" s="191"/>
      <c r="Y48" s="232"/>
      <c r="Z48" s="232"/>
      <c r="AA48" s="232"/>
      <c r="AB48" s="232"/>
      <c r="AC48" s="232"/>
      <c r="AD48" s="248"/>
      <c r="AE48" s="248">
        <f>SimulCEI!X36</f>
        <v>4688</v>
      </c>
      <c r="AF48" s="248">
        <f t="shared" si="4"/>
        <v>793035.00000000012</v>
      </c>
      <c r="AH48" s="232">
        <f>ParâmeetrosTRU!AH48</f>
        <v>2.8754330455415347E-5</v>
      </c>
      <c r="AI48" s="232">
        <f>ParâmeetrosTRU!AI48</f>
        <v>1.5696073453410051E-3</v>
      </c>
      <c r="AJ48" s="232">
        <f>ParâmeetrosTRU!AJ48</f>
        <v>1.3880768542242584E-3</v>
      </c>
      <c r="AK48" s="232">
        <f>ParâmeetrosTRU!AK48</f>
        <v>3.0356700613137812E-3</v>
      </c>
      <c r="AL48" s="232">
        <f>ParâmeetrosTRU!AL48</f>
        <v>2.1924175721243912E-3</v>
      </c>
      <c r="AM48" s="232">
        <f>ParâmeetrosTRU!AM48</f>
        <v>0.42244043854849828</v>
      </c>
      <c r="AN48" s="232">
        <f>ParâmeetrosTRU!AN48</f>
        <v>1.1283011430823808E-2</v>
      </c>
      <c r="AO48" s="232">
        <f>ParâmeetrosTRU!AO48</f>
        <v>1.2055099422826636E-2</v>
      </c>
      <c r="AP48" s="232">
        <f>ParâmeetrosTRU!AP48</f>
        <v>8.5541873522015401E-3</v>
      </c>
      <c r="AQ48" s="232">
        <f>ParâmeetrosTRU!AQ48</f>
        <v>3.7097984326038575E-3</v>
      </c>
      <c r="AR48" s="232">
        <f>ParâmeetrosTRU!AR48</f>
        <v>2.1357343092316683E-2</v>
      </c>
      <c r="AS48" s="232">
        <f>ParâmeetrosTRU!AS48</f>
        <v>3.2608079951900013E-3</v>
      </c>
      <c r="BD48" s="54">
        <v>1</v>
      </c>
      <c r="BH48" s="256">
        <f>AU48-ParâmeetrosTRU!AH48-'Matriz consumo'!C34</f>
        <v>-2.8754330455415347E-5</v>
      </c>
      <c r="BI48" s="256">
        <f>AV48-ParâmeetrosTRU!AI48-'Matriz consumo'!D34</f>
        <v>-1.5696073453410051E-3</v>
      </c>
      <c r="BJ48" s="256">
        <f>AW48-ParâmeetrosTRU!AJ48-'Matriz consumo'!E34</f>
        <v>-1.3880768542242584E-3</v>
      </c>
      <c r="BK48" s="256">
        <f>AX48-ParâmeetrosTRU!AK48-'Matriz consumo'!F34</f>
        <v>-3.0356700613137812E-3</v>
      </c>
      <c r="BL48" s="256">
        <f>AY48-ParâmeetrosTRU!AL48-'Matriz consumo'!G34</f>
        <v>-2.1924175721243912E-3</v>
      </c>
      <c r="BM48" s="256">
        <f>AZ48-ParâmeetrosTRU!AM48-'Matriz consumo'!H34</f>
        <v>-0.42244043854849828</v>
      </c>
      <c r="BN48" s="256">
        <f>BA48-ParâmeetrosTRU!AN48-'Matriz consumo'!I34</f>
        <v>-1.1283011430823808E-2</v>
      </c>
      <c r="BO48" s="256">
        <f>BB48-ParâmeetrosTRU!AO48-'Matriz consumo'!J34</f>
        <v>-1.2055099422826636E-2</v>
      </c>
      <c r="BP48" s="256">
        <f>BC48-ParâmeetrosTRU!AP48-'Matriz consumo'!K34</f>
        <v>-8.5541873522015401E-3</v>
      </c>
      <c r="BQ48" s="256">
        <f>BD48-ParâmeetrosTRU!AQ48-'Matriz consumo'!L34</f>
        <v>0.18522511616763448</v>
      </c>
      <c r="BR48" s="256">
        <f>BE48-ParâmeetrosTRU!AR48-'Matriz consumo'!M34</f>
        <v>-2.1357343092316683E-2</v>
      </c>
      <c r="BS48" s="256">
        <f>BF48-ParâmeetrosTRU!AS48-'Matriz consumo'!N34</f>
        <v>-3.2608079951900013E-3</v>
      </c>
      <c r="BU48" s="54">
        <v>0.12312791865465179</v>
      </c>
      <c r="BV48" s="54">
        <v>0.20237887787580686</v>
      </c>
      <c r="BW48" s="54">
        <v>0.24876815585939369</v>
      </c>
      <c r="BX48" s="54">
        <v>0.22699150701383419</v>
      </c>
      <c r="BY48" s="54">
        <v>0.13599561255067116</v>
      </c>
      <c r="BZ48" s="54">
        <v>6.8274553265792219</v>
      </c>
      <c r="CA48" s="54">
        <v>0.44493502319491113</v>
      </c>
      <c r="CB48" s="54">
        <v>0.32486047408519375</v>
      </c>
      <c r="CC48" s="54">
        <v>0.2759649288045104</v>
      </c>
      <c r="CD48" s="54">
        <v>5.5011283865068936</v>
      </c>
      <c r="CE48" s="54">
        <v>0.40175162962365618</v>
      </c>
      <c r="CF48" s="54">
        <v>0.11500346658259877</v>
      </c>
      <c r="CH48" s="248">
        <v>793035.00000000012</v>
      </c>
      <c r="CI48" s="248">
        <f>Original!AF48</f>
        <v>793035</v>
      </c>
      <c r="CK48" s="248">
        <v>145143.99999999997</v>
      </c>
      <c r="CL48" s="248">
        <v>643203.00000000012</v>
      </c>
    </row>
    <row r="49" spans="1:90" s="54" customFormat="1" ht="10.15" customHeight="1">
      <c r="A49" s="205" t="s">
        <v>481</v>
      </c>
      <c r="B49" s="192">
        <f t="shared" si="3"/>
        <v>2125358</v>
      </c>
      <c r="C49" s="192"/>
      <c r="D49" s="192"/>
      <c r="E49" s="192"/>
      <c r="F49" s="192"/>
      <c r="G49" s="192"/>
      <c r="H49" s="192"/>
      <c r="I49" s="192"/>
      <c r="J49" s="192"/>
      <c r="K49" s="248">
        <f>K$24*ParâmeetrosTRU!K49</f>
        <v>3908</v>
      </c>
      <c r="L49" s="248">
        <f>L$24*ParâmeetrosTRU!L49</f>
        <v>52746.999999999993</v>
      </c>
      <c r="M49" s="248">
        <f>M$24*ParâmeetrosTRU!M49</f>
        <v>199400.99999999997</v>
      </c>
      <c r="N49" s="248">
        <f>N$24*ParâmeetrosTRU!N49</f>
        <v>21492.999999999989</v>
      </c>
      <c r="O49" s="248">
        <f>O$24*ParâmeetrosTRU!O49</f>
        <v>19428.000000000011</v>
      </c>
      <c r="P49" s="248">
        <f>P$24*ParâmeetrosTRU!P49</f>
        <v>164865.99999999994</v>
      </c>
      <c r="Q49" s="248">
        <f>Q$24*ParâmeetrosTRU!Q49</f>
        <v>51100.999999999985</v>
      </c>
      <c r="R49" s="248">
        <f>R$24*ParâmeetrosTRU!R49</f>
        <v>79931.999999999985</v>
      </c>
      <c r="S49" s="248">
        <f>S$24*ParâmeetrosTRU!S49</f>
        <v>73482.999999999985</v>
      </c>
      <c r="T49" s="248">
        <f>T$24*ParâmeetrosTRU!T49</f>
        <v>7373.0000000000009</v>
      </c>
      <c r="U49" s="248">
        <f>U$24*ParâmeetrosTRU!U49</f>
        <v>227146</v>
      </c>
      <c r="V49" s="248">
        <f>V$24*ParâmeetrosTRU!V49</f>
        <v>130929</v>
      </c>
      <c r="W49" s="192">
        <f t="shared" si="2"/>
        <v>1031806.9999999999</v>
      </c>
      <c r="X49" s="191"/>
      <c r="Y49" s="232"/>
      <c r="Z49" s="232"/>
      <c r="AA49" s="232"/>
      <c r="AB49" s="232"/>
      <c r="AC49" s="232"/>
      <c r="AD49" s="248"/>
      <c r="AE49" s="248">
        <f>SimulCEI!X37</f>
        <v>177689</v>
      </c>
      <c r="AF49" s="248">
        <f t="shared" si="4"/>
        <v>2125358</v>
      </c>
      <c r="AH49" s="232">
        <f>ParâmeetrosTRU!AH49</f>
        <v>4.1619230896208581E-3</v>
      </c>
      <c r="AI49" s="232">
        <f>ParâmeetrosTRU!AI49</f>
        <v>0.11113030690564027</v>
      </c>
      <c r="AJ49" s="232">
        <f>ParâmeetrosTRU!AJ49</f>
        <v>3.0825694710900027E-2</v>
      </c>
      <c r="AK49" s="232">
        <f>ParâmeetrosTRU!AK49</f>
        <v>4.0324880486907973E-2</v>
      </c>
      <c r="AL49" s="232">
        <f>ParâmeetrosTRU!AL49</f>
        <v>2.8434104533533157E-2</v>
      </c>
      <c r="AM49" s="232">
        <f>ParâmeetrosTRU!AM49</f>
        <v>1.1714474516296354</v>
      </c>
      <c r="AN49" s="232">
        <f>ParâmeetrosTRU!AN49</f>
        <v>8.9920955571822739E-2</v>
      </c>
      <c r="AO49" s="232">
        <f>ParâmeetrosTRU!AO49</f>
        <v>0.14925467891347255</v>
      </c>
      <c r="AP49" s="232">
        <f>ParâmeetrosTRU!AP49</f>
        <v>9.1845024722651353E-2</v>
      </c>
      <c r="AQ49" s="232">
        <f>ParâmeetrosTRU!AQ49</f>
        <v>9.2971936925860775E-3</v>
      </c>
      <c r="AR49" s="232">
        <f>ParâmeetrosTRU!AR49</f>
        <v>0.1068742301297005</v>
      </c>
      <c r="AS49" s="232">
        <f>ParâmeetrosTRU!AS49</f>
        <v>8.9354192131065643E-2</v>
      </c>
      <c r="BE49" s="54">
        <v>1</v>
      </c>
      <c r="BH49" s="256">
        <f>AU49-ParâmeetrosTRU!AH49-'Matriz consumo'!C35</f>
        <v>-4.1619230896208581E-3</v>
      </c>
      <c r="BI49" s="256">
        <f>AV49-ParâmeetrosTRU!AI49-'Matriz consumo'!D35</f>
        <v>-0.11113030690564027</v>
      </c>
      <c r="BJ49" s="256">
        <f>AW49-ParâmeetrosTRU!AJ49-'Matriz consumo'!E35</f>
        <v>-3.0825694710900027E-2</v>
      </c>
      <c r="BK49" s="256">
        <f>AX49-ParâmeetrosTRU!AK49-'Matriz consumo'!F35</f>
        <v>-4.0324880486907973E-2</v>
      </c>
      <c r="BL49" s="256">
        <f>AY49-ParâmeetrosTRU!AL49-'Matriz consumo'!G35</f>
        <v>-2.8434104533533157E-2</v>
      </c>
      <c r="BM49" s="256">
        <f>AZ49-ParâmeetrosTRU!AM49-'Matriz consumo'!H35</f>
        <v>-1.1714474516296354</v>
      </c>
      <c r="BN49" s="256">
        <f>BA49-ParâmeetrosTRU!AN49-'Matriz consumo'!I35</f>
        <v>-8.9920955571822739E-2</v>
      </c>
      <c r="BO49" s="256">
        <f>BB49-ParâmeetrosTRU!AO49-'Matriz consumo'!J35</f>
        <v>-0.14925467891347255</v>
      </c>
      <c r="BP49" s="256">
        <f>BC49-ParâmeetrosTRU!AP49-'Matriz consumo'!K35</f>
        <v>-9.1845024722651353E-2</v>
      </c>
      <c r="BQ49" s="256">
        <f>BD49-ParâmeetrosTRU!AQ49-'Matriz consumo'!L35</f>
        <v>-9.2971936925860775E-3</v>
      </c>
      <c r="BR49" s="256">
        <f>BE49-ParâmeetrosTRU!AR49-'Matriz consumo'!M35</f>
        <v>0.46220448507969009</v>
      </c>
      <c r="BS49" s="256">
        <f>BF49-ParâmeetrosTRU!AS49-'Matriz consumo'!N35</f>
        <v>-8.9354192131065643E-2</v>
      </c>
      <c r="BU49" s="54">
        <v>0.27381905222214448</v>
      </c>
      <c r="BV49" s="54">
        <v>0.56953947342521394</v>
      </c>
      <c r="BW49" s="54">
        <v>0.53624397457552286</v>
      </c>
      <c r="BX49" s="54">
        <v>0.54887911694518199</v>
      </c>
      <c r="BY49" s="54">
        <v>0.31587106538585463</v>
      </c>
      <c r="BZ49" s="54">
        <v>8.9846509704309341</v>
      </c>
      <c r="CA49" s="54">
        <v>0.86130433316137245</v>
      </c>
      <c r="CB49" s="54">
        <v>0.8114174933318038</v>
      </c>
      <c r="CC49" s="54">
        <v>0.73434905409951678</v>
      </c>
      <c r="CD49" s="54">
        <v>0.32998145827489805</v>
      </c>
      <c r="CE49" s="54">
        <v>2.4906023125547665</v>
      </c>
      <c r="CF49" s="54">
        <v>0.35097315626797815</v>
      </c>
      <c r="CH49" s="248">
        <v>2125358</v>
      </c>
      <c r="CI49" s="248">
        <f>Original!AF49</f>
        <v>2125358</v>
      </c>
      <c r="CK49" s="248">
        <v>1031806.9999999999</v>
      </c>
      <c r="CL49" s="248">
        <v>915862</v>
      </c>
    </row>
    <row r="50" spans="1:90" s="54" customFormat="1" ht="10.15" customHeight="1">
      <c r="A50" s="205" t="s">
        <v>482</v>
      </c>
      <c r="B50" s="192">
        <f t="shared" si="3"/>
        <v>1465281</v>
      </c>
      <c r="C50" s="192"/>
      <c r="D50" s="192"/>
      <c r="E50" s="192"/>
      <c r="F50" s="192"/>
      <c r="G50" s="192"/>
      <c r="H50" s="192"/>
      <c r="I50" s="192"/>
      <c r="J50" s="192"/>
      <c r="K50" s="248">
        <f>K$24*ParâmeetrosTRU!K50</f>
        <v>0</v>
      </c>
      <c r="L50" s="248">
        <f>L$24*ParâmeetrosTRU!L50</f>
        <v>0</v>
      </c>
      <c r="M50" s="248">
        <f>M$24*ParâmeetrosTRU!M50</f>
        <v>0</v>
      </c>
      <c r="N50" s="248">
        <f>N$24*ParâmeetrosTRU!N50</f>
        <v>0</v>
      </c>
      <c r="O50" s="248">
        <f>O$24*ParâmeetrosTRU!O50</f>
        <v>0</v>
      </c>
      <c r="P50" s="248">
        <f>P$24*ParâmeetrosTRU!P50</f>
        <v>0</v>
      </c>
      <c r="Q50" s="248">
        <f>Q$24*ParâmeetrosTRU!Q50</f>
        <v>0</v>
      </c>
      <c r="R50" s="248">
        <f>R$24*ParâmeetrosTRU!R50</f>
        <v>0</v>
      </c>
      <c r="S50" s="248">
        <f>S$24*ParâmeetrosTRU!S50</f>
        <v>0</v>
      </c>
      <c r="T50" s="248">
        <f>T$24*ParâmeetrosTRU!T50</f>
        <v>0</v>
      </c>
      <c r="U50" s="248">
        <f>U$24*ParâmeetrosTRU!U50</f>
        <v>0</v>
      </c>
      <c r="V50" s="248">
        <f>V$24*ParâmeetrosTRU!V50</f>
        <v>0</v>
      </c>
      <c r="W50" s="192">
        <f t="shared" si="2"/>
        <v>0</v>
      </c>
      <c r="X50" s="191"/>
      <c r="Y50" s="232"/>
      <c r="Z50" s="232"/>
      <c r="AA50" s="232"/>
      <c r="AB50" s="232"/>
      <c r="AC50" s="232"/>
      <c r="AD50" s="248"/>
      <c r="AE50" s="248">
        <f>SimulCEI!X38</f>
        <v>1465281</v>
      </c>
      <c r="AF50" s="248">
        <f t="shared" si="4"/>
        <v>1465281</v>
      </c>
      <c r="AH50" s="232">
        <f>ParâmeetrosTRU!AH50</f>
        <v>0</v>
      </c>
      <c r="AI50" s="232">
        <f>ParâmeetrosTRU!AI50</f>
        <v>0</v>
      </c>
      <c r="AJ50" s="232">
        <f>ParâmeetrosTRU!AJ50</f>
        <v>0</v>
      </c>
      <c r="AK50" s="232">
        <f>ParâmeetrosTRU!AK50</f>
        <v>0</v>
      </c>
      <c r="AL50" s="232">
        <f>ParâmeetrosTRU!AL50</f>
        <v>0</v>
      </c>
      <c r="AM50" s="232">
        <f>ParâmeetrosTRU!AM50</f>
        <v>0</v>
      </c>
      <c r="AN50" s="232">
        <f>ParâmeetrosTRU!AN50</f>
        <v>0</v>
      </c>
      <c r="AO50" s="232">
        <f>ParâmeetrosTRU!AO50</f>
        <v>0</v>
      </c>
      <c r="AP50" s="232">
        <f>ParâmeetrosTRU!AP50</f>
        <v>0</v>
      </c>
      <c r="AQ50" s="232">
        <f>ParâmeetrosTRU!AQ50</f>
        <v>0</v>
      </c>
      <c r="AR50" s="232">
        <f>ParâmeetrosTRU!AR50</f>
        <v>0</v>
      </c>
      <c r="AS50" s="232">
        <f>ParâmeetrosTRU!AS50</f>
        <v>0</v>
      </c>
      <c r="BF50" s="54">
        <v>1</v>
      </c>
      <c r="BH50" s="256">
        <f>AU50-ParâmeetrosTRU!AH50-'Matriz consumo'!C36</f>
        <v>0</v>
      </c>
      <c r="BI50" s="256">
        <f>AV50-ParâmeetrosTRU!AI50-'Matriz consumo'!D36</f>
        <v>0</v>
      </c>
      <c r="BJ50" s="256">
        <f>AW50-ParâmeetrosTRU!AJ50-'Matriz consumo'!E36</f>
        <v>0</v>
      </c>
      <c r="BK50" s="256">
        <f>AX50-ParâmeetrosTRU!AK50-'Matriz consumo'!F36</f>
        <v>0</v>
      </c>
      <c r="BL50" s="256">
        <f>AY50-ParâmeetrosTRU!AL50-'Matriz consumo'!G36</f>
        <v>0</v>
      </c>
      <c r="BM50" s="256">
        <f>AZ50-ParâmeetrosTRU!AM50-'Matriz consumo'!H36</f>
        <v>0</v>
      </c>
      <c r="BN50" s="256">
        <f>BA50-ParâmeetrosTRU!AN50-'Matriz consumo'!I36</f>
        <v>0</v>
      </c>
      <c r="BO50" s="256">
        <f>BB50-ParâmeetrosTRU!AO50-'Matriz consumo'!J36</f>
        <v>0</v>
      </c>
      <c r="BP50" s="256">
        <f>BC50-ParâmeetrosTRU!AP50-'Matriz consumo'!K36</f>
        <v>0</v>
      </c>
      <c r="BQ50" s="256">
        <f>BD50-ParâmeetrosTRU!AQ50-'Matriz consumo'!L36</f>
        <v>0</v>
      </c>
      <c r="BR50" s="256">
        <f>BE50-ParâmeetrosTRU!AR50-'Matriz consumo'!M36</f>
        <v>0</v>
      </c>
      <c r="BS50" s="256">
        <f>BF50-ParâmeetrosTRU!AS50-'Matriz consumo'!N36</f>
        <v>1</v>
      </c>
      <c r="BU50" s="54">
        <v>0</v>
      </c>
      <c r="BV50" s="54">
        <v>0</v>
      </c>
      <c r="BW50" s="54">
        <v>0</v>
      </c>
      <c r="BX50" s="54">
        <v>0</v>
      </c>
      <c r="BY50" s="54">
        <v>0</v>
      </c>
      <c r="BZ50" s="54">
        <v>0</v>
      </c>
      <c r="CA50" s="54">
        <v>0</v>
      </c>
      <c r="CB50" s="54">
        <v>0</v>
      </c>
      <c r="CC50" s="54">
        <v>0</v>
      </c>
      <c r="CD50" s="54">
        <v>0</v>
      </c>
      <c r="CE50" s="54">
        <v>0</v>
      </c>
      <c r="CF50" s="54">
        <v>1</v>
      </c>
      <c r="CH50" s="248">
        <v>1465281</v>
      </c>
      <c r="CI50" s="248">
        <f>Original!AF50</f>
        <v>1465281</v>
      </c>
      <c r="CK50" s="248">
        <v>0</v>
      </c>
      <c r="CL50" s="248">
        <v>0</v>
      </c>
    </row>
    <row r="51" spans="1:90" s="54" customFormat="1" ht="10.15" customHeight="1">
      <c r="A51" s="187" t="s">
        <v>510</v>
      </c>
      <c r="B51" s="192">
        <f>SUM(B39:B50)</f>
        <v>15526867.999999998</v>
      </c>
      <c r="C51" s="192"/>
      <c r="D51" s="192"/>
      <c r="E51" s="192"/>
      <c r="F51" s="192"/>
      <c r="G51" s="192"/>
      <c r="H51" s="192"/>
      <c r="I51" s="192"/>
      <c r="J51" s="192"/>
      <c r="K51" s="248">
        <f>K$24*ParâmeetrosTRU!K51</f>
        <v>361140</v>
      </c>
      <c r="L51" s="248">
        <f>L$24*ParâmeetrosTRU!L51</f>
        <v>248415.99999999997</v>
      </c>
      <c r="M51" s="248">
        <f>M$24*ParâmeetrosTRU!M51</f>
        <v>2955686.9999999995</v>
      </c>
      <c r="N51" s="248">
        <f>N$24*ParâmeetrosTRU!N51</f>
        <v>245628.99999999985</v>
      </c>
      <c r="O51" s="248">
        <f>O$24*ParâmeetrosTRU!O51</f>
        <v>344580.00000000012</v>
      </c>
      <c r="P51" s="248">
        <f>P$24*ParâmeetrosTRU!P51</f>
        <v>579204.99999999988</v>
      </c>
      <c r="Q51" s="248">
        <f>Q$24*ParâmeetrosTRU!Q51</f>
        <v>355661.99999999988</v>
      </c>
      <c r="R51" s="248">
        <f>R$24*ParâmeetrosTRU!R51</f>
        <v>198073.99999999997</v>
      </c>
      <c r="S51" s="248">
        <f>S$24*ParâmeetrosTRU!S51</f>
        <v>246352.99999999991</v>
      </c>
      <c r="T51" s="248">
        <f>T$24*ParâmeetrosTRU!T51</f>
        <v>55618.000000000007</v>
      </c>
      <c r="U51" s="248">
        <f>U$24*ParâmeetrosTRU!U51</f>
        <v>730668</v>
      </c>
      <c r="V51" s="248">
        <f>V$24*ParâmeetrosTRU!V51</f>
        <v>390229.99999999994</v>
      </c>
      <c r="W51" s="192">
        <f t="shared" si="2"/>
        <v>6711261.9999999991</v>
      </c>
      <c r="X51" s="191"/>
      <c r="Y51" s="233"/>
      <c r="Z51" s="233"/>
      <c r="AA51" s="233"/>
      <c r="AB51" s="233"/>
      <c r="AC51" s="233"/>
      <c r="AD51" s="233"/>
      <c r="AE51" s="248">
        <f>SimulCEI!X39</f>
        <v>4010602</v>
      </c>
      <c r="AF51" s="248">
        <f t="shared" si="4"/>
        <v>0</v>
      </c>
    </row>
    <row r="52" spans="1:90" s="54" customFormat="1" ht="10.15" customHeight="1">
      <c r="A52" s="438" t="s">
        <v>525</v>
      </c>
      <c r="B52" s="438"/>
      <c r="C52" s="438"/>
      <c r="D52" s="438"/>
      <c r="E52" s="438"/>
      <c r="F52" s="438"/>
      <c r="G52" s="438"/>
      <c r="H52" s="438"/>
      <c r="I52" s="438"/>
      <c r="J52" s="438"/>
      <c r="K52" s="438"/>
      <c r="L52" s="438"/>
      <c r="M52" s="438"/>
      <c r="N52" s="438"/>
      <c r="O52" s="438"/>
      <c r="P52" s="438"/>
      <c r="Q52" s="438"/>
      <c r="R52" s="438"/>
      <c r="S52" s="438"/>
      <c r="T52" s="438"/>
      <c r="U52" s="438"/>
      <c r="V52" s="438"/>
      <c r="W52" s="439"/>
      <c r="X52" s="209"/>
      <c r="Z52" s="192"/>
      <c r="AA52" s="192"/>
      <c r="AB52" s="192"/>
      <c r="AC52" s="192"/>
      <c r="AD52" s="192"/>
      <c r="CL52" s="192">
        <v>212694</v>
      </c>
    </row>
    <row r="53" spans="1:90" s="54" customFormat="1" ht="6.75" customHeight="1" thickBot="1">
      <c r="A53" s="187"/>
      <c r="B53" s="190"/>
      <c r="C53" s="190"/>
      <c r="D53" s="190"/>
      <c r="E53" s="190"/>
      <c r="F53" s="190"/>
      <c r="G53" s="190"/>
      <c r="H53" s="190"/>
      <c r="I53" s="190"/>
      <c r="J53" s="190"/>
      <c r="K53" s="248">
        <f>K$24*ParâmeetrosTRU!K53</f>
        <v>0</v>
      </c>
      <c r="L53" s="248">
        <f>L$24*ParâmeetrosTRU!L53</f>
        <v>0</v>
      </c>
      <c r="M53" s="248">
        <f>M$24*ParâmeetrosTRU!M53</f>
        <v>0</v>
      </c>
      <c r="N53" s="248">
        <f>N$24*ParâmeetrosTRU!N53</f>
        <v>0</v>
      </c>
      <c r="O53" s="248">
        <f>O$24*ParâmeetrosTRU!O53</f>
        <v>0</v>
      </c>
      <c r="P53" s="248">
        <f>P$24*ParâmeetrosTRU!P53</f>
        <v>0</v>
      </c>
      <c r="Q53" s="248">
        <f>Q$24*ParâmeetrosTRU!Q53</f>
        <v>0</v>
      </c>
      <c r="R53" s="248">
        <f>R$24*ParâmeetrosTRU!R53</f>
        <v>0</v>
      </c>
      <c r="S53" s="248">
        <f>S$24*ParâmeetrosTRU!S53</f>
        <v>0</v>
      </c>
      <c r="T53" s="248">
        <f>T$24*ParâmeetrosTRU!T53</f>
        <v>0</v>
      </c>
      <c r="U53" s="248">
        <f>U$24*ParâmeetrosTRU!U53</f>
        <v>0</v>
      </c>
      <c r="V53" s="248">
        <f>V$24*ParâmeetrosTRU!V53</f>
        <v>0</v>
      </c>
      <c r="W53" s="248">
        <f>W$24*ParâmeetrosTRU!W53</f>
        <v>0</v>
      </c>
      <c r="X53" s="190"/>
      <c r="Y53" s="190"/>
      <c r="Z53" s="210"/>
      <c r="AA53" s="190"/>
      <c r="AB53" s="190"/>
      <c r="AC53" s="190"/>
      <c r="AD53" s="190"/>
      <c r="AE53" s="190"/>
      <c r="AF53" s="293">
        <f>SUM(AF39:AF50)</f>
        <v>15526867.999999998</v>
      </c>
      <c r="CL53" s="192">
        <v>0</v>
      </c>
    </row>
    <row r="54" spans="1:90" s="54" customFormat="1" ht="10.15" customHeight="1" thickTop="1">
      <c r="A54" s="187" t="s">
        <v>460</v>
      </c>
      <c r="B54" s="192"/>
      <c r="C54" s="192"/>
      <c r="D54" s="192"/>
      <c r="E54" s="192"/>
      <c r="F54" s="192"/>
      <c r="G54" s="192"/>
      <c r="H54" s="192"/>
      <c r="I54" s="192">
        <f>I24</f>
        <v>1014659.9999999999</v>
      </c>
      <c r="J54" s="192"/>
      <c r="K54" s="248">
        <f>K$24*ParâmeetrosTRU!K54</f>
        <v>434621</v>
      </c>
      <c r="L54" s="248">
        <f>L$24*ParâmeetrosTRU!L54</f>
        <v>193614.99999999997</v>
      </c>
      <c r="M54" s="248">
        <f>M$24*ParâmeetrosTRU!M54</f>
        <v>813688.99999999988</v>
      </c>
      <c r="N54" s="248">
        <f>N$24*ParâmeetrosTRU!N54</f>
        <v>209111.99999999991</v>
      </c>
      <c r="O54" s="248">
        <f>O$24*ParâmeetrosTRU!O54</f>
        <v>267921.00000000012</v>
      </c>
      <c r="P54" s="248">
        <f>P$24*ParâmeetrosTRU!P54</f>
        <v>825345.99999999965</v>
      </c>
      <c r="Q54" s="248">
        <f>Q$24*ParâmeetrosTRU!Q54</f>
        <v>273238.99999999988</v>
      </c>
      <c r="R54" s="248">
        <f>R$24*ParâmeetrosTRU!R54</f>
        <v>237573.99999999997</v>
      </c>
      <c r="S54" s="248">
        <f>S$24*ParâmeetrosTRU!S54</f>
        <v>454549.99999999988</v>
      </c>
      <c r="T54" s="248">
        <f>T$24*ParâmeetrosTRU!T54</f>
        <v>656013.00000000012</v>
      </c>
      <c r="U54" s="248">
        <f>U$24*ParâmeetrosTRU!U54</f>
        <v>1082357</v>
      </c>
      <c r="V54" s="248">
        <f>V$24*ParâmeetrosTRU!V54</f>
        <v>1146900</v>
      </c>
      <c r="W54" s="192">
        <f t="shared" ref="W54:W69" si="5">SUM(K54:V54)</f>
        <v>6594937</v>
      </c>
      <c r="X54" s="192">
        <f>I54+W54</f>
        <v>7609597</v>
      </c>
      <c r="AA54" s="211"/>
      <c r="AB54" s="212"/>
      <c r="AC54" s="212"/>
      <c r="AD54" s="212"/>
      <c r="AE54" s="213"/>
      <c r="CL54" s="192">
        <v>2148705</v>
      </c>
    </row>
    <row r="55" spans="1:90" s="54" customFormat="1" ht="10.15" customHeight="1">
      <c r="A55" s="187" t="s">
        <v>461</v>
      </c>
      <c r="B55" s="192"/>
      <c r="C55" s="192"/>
      <c r="D55" s="192"/>
      <c r="E55" s="192"/>
      <c r="F55" s="192"/>
      <c r="G55" s="192"/>
      <c r="H55" s="192"/>
      <c r="I55" s="192"/>
      <c r="J55" s="192"/>
      <c r="K55" s="248">
        <f>K$24*ParâmeetrosTRU!K55</f>
        <v>56426</v>
      </c>
      <c r="L55" s="248">
        <f>L$24*ParâmeetrosTRU!L55</f>
        <v>31029.999999999996</v>
      </c>
      <c r="M55" s="248">
        <f>M$24*ParâmeetrosTRU!M55</f>
        <v>431906.99999999994</v>
      </c>
      <c r="N55" s="248">
        <f>N$24*ParâmeetrosTRU!N55</f>
        <v>42339.999999999978</v>
      </c>
      <c r="O55" s="248">
        <f>O$24*ParâmeetrosTRU!O55</f>
        <v>110214.00000000004</v>
      </c>
      <c r="P55" s="248">
        <f>P$24*ParâmeetrosTRU!P55</f>
        <v>404267.99999999988</v>
      </c>
      <c r="Q55" s="248">
        <f>Q$24*ParâmeetrosTRU!Q55</f>
        <v>144415.99999999994</v>
      </c>
      <c r="R55" s="248">
        <f>R$24*ParâmeetrosTRU!R55</f>
        <v>106304.99999999999</v>
      </c>
      <c r="S55" s="248">
        <f>S$24*ParâmeetrosTRU!S55</f>
        <v>181284.99999999991</v>
      </c>
      <c r="T55" s="248">
        <f>T$24*ParâmeetrosTRU!T55</f>
        <v>9024.0000000000018</v>
      </c>
      <c r="U55" s="248">
        <f>U$24*ParâmeetrosTRU!U55</f>
        <v>646179</v>
      </c>
      <c r="V55" s="248">
        <f>V$24*ParâmeetrosTRU!V55</f>
        <v>1028949</v>
      </c>
      <c r="W55" s="192">
        <f t="shared" si="5"/>
        <v>3192343</v>
      </c>
      <c r="X55" s="192">
        <f t="shared" ref="X55:X70" si="6">I55+W55</f>
        <v>3192343</v>
      </c>
      <c r="AA55" s="214" t="s">
        <v>526</v>
      </c>
      <c r="AB55" s="215"/>
      <c r="AC55" s="215"/>
      <c r="AD55" s="215"/>
      <c r="AE55" s="216"/>
      <c r="CL55" s="192">
        <v>186576</v>
      </c>
    </row>
    <row r="56" spans="1:90" s="54" customFormat="1" ht="10.15" customHeight="1">
      <c r="A56" s="187" t="s">
        <v>424</v>
      </c>
      <c r="B56" s="192"/>
      <c r="C56" s="192"/>
      <c r="D56" s="192"/>
      <c r="E56" s="192"/>
      <c r="F56" s="192"/>
      <c r="G56" s="192"/>
      <c r="H56" s="192"/>
      <c r="I56" s="192"/>
      <c r="J56" s="192"/>
      <c r="K56" s="248">
        <f>K$24*ParâmeetrosTRU!K56</f>
        <v>48460</v>
      </c>
      <c r="L56" s="248">
        <f>L$24*ParâmeetrosTRU!L56</f>
        <v>23544.999999999996</v>
      </c>
      <c r="M56" s="248">
        <f>M$24*ParâmeetrosTRU!M56</f>
        <v>342664.99999999994</v>
      </c>
      <c r="N56" s="248">
        <f>N$24*ParâmeetrosTRU!N56</f>
        <v>31379.999999999982</v>
      </c>
      <c r="O56" s="248">
        <f>O$24*ParâmeetrosTRU!O56</f>
        <v>90262.000000000029</v>
      </c>
      <c r="P56" s="248">
        <f>P$24*ParâmeetrosTRU!P56</f>
        <v>322108.99999999988</v>
      </c>
      <c r="Q56" s="248">
        <f>Q$24*ParâmeetrosTRU!Q56</f>
        <v>115819.99999999996</v>
      </c>
      <c r="R56" s="248">
        <f>R$24*ParâmeetrosTRU!R56</f>
        <v>84430</v>
      </c>
      <c r="S56" s="248">
        <f>S$24*ParâmeetrosTRU!S56</f>
        <v>140273.99999999997</v>
      </c>
      <c r="T56" s="248">
        <f>T$24*ParâmeetrosTRU!T56</f>
        <v>7050.0000000000009</v>
      </c>
      <c r="U56" s="248">
        <f>U$24*ParâmeetrosTRU!U56</f>
        <v>545236</v>
      </c>
      <c r="V56" s="248">
        <f>V$24*ParâmeetrosTRU!V56</f>
        <v>780730</v>
      </c>
      <c r="W56" s="192">
        <f t="shared" si="5"/>
        <v>2531961</v>
      </c>
      <c r="X56" s="192">
        <f t="shared" si="6"/>
        <v>2531961</v>
      </c>
      <c r="AA56" s="217"/>
      <c r="AB56" s="215"/>
      <c r="AC56" s="215"/>
      <c r="AD56" s="215"/>
      <c r="AE56" s="218"/>
      <c r="CL56" s="192">
        <v>0</v>
      </c>
    </row>
    <row r="57" spans="1:90" s="54" customFormat="1" ht="10.15" customHeight="1">
      <c r="A57" s="187" t="s">
        <v>462</v>
      </c>
      <c r="B57" s="192"/>
      <c r="C57" s="192"/>
      <c r="D57" s="192"/>
      <c r="E57" s="192"/>
      <c r="F57" s="192"/>
      <c r="G57" s="192"/>
      <c r="H57" s="192"/>
      <c r="I57" s="192"/>
      <c r="J57" s="192"/>
      <c r="K57" s="248">
        <f>K$24*ParâmeetrosTRU!K57</f>
        <v>7965.9999999999991</v>
      </c>
      <c r="L57" s="248">
        <f>L$24*ParâmeetrosTRU!L57</f>
        <v>7484.9999999999982</v>
      </c>
      <c r="M57" s="248">
        <f>M$24*ParâmeetrosTRU!M57</f>
        <v>89241.999999999985</v>
      </c>
      <c r="N57" s="248">
        <f>N$24*ParâmeetrosTRU!N57</f>
        <v>10959.999999999995</v>
      </c>
      <c r="O57" s="248">
        <f>O$24*ParâmeetrosTRU!O57</f>
        <v>19952.000000000011</v>
      </c>
      <c r="P57" s="248">
        <f>P$24*ParâmeetrosTRU!P57</f>
        <v>82158.999999999971</v>
      </c>
      <c r="Q57" s="248">
        <f>Q$24*ParâmeetrosTRU!Q57</f>
        <v>28595.999999999993</v>
      </c>
      <c r="R57" s="248">
        <f>R$24*ParâmeetrosTRU!R57</f>
        <v>21874.999999999996</v>
      </c>
      <c r="S57" s="248">
        <f>S$24*ParâmeetrosTRU!S57</f>
        <v>41010.999999999985</v>
      </c>
      <c r="T57" s="248">
        <f>T$24*ParâmeetrosTRU!T57</f>
        <v>1974.0000000000005</v>
      </c>
      <c r="U57" s="248">
        <f>U$24*ParâmeetrosTRU!U57</f>
        <v>100943</v>
      </c>
      <c r="V57" s="248">
        <f>V$24*ParâmeetrosTRU!V57</f>
        <v>150454</v>
      </c>
      <c r="W57" s="192">
        <f t="shared" si="5"/>
        <v>562617</v>
      </c>
      <c r="X57" s="192">
        <f t="shared" si="6"/>
        <v>562617</v>
      </c>
      <c r="AA57" s="214" t="s">
        <v>484</v>
      </c>
      <c r="AB57" s="215"/>
      <c r="AC57" s="215"/>
      <c r="AD57" s="215"/>
      <c r="AE57" s="216"/>
      <c r="CL57" s="192">
        <v>55912</v>
      </c>
    </row>
    <row r="58" spans="1:90" s="54" customFormat="1" ht="10.15" customHeight="1">
      <c r="A58" s="54" t="s">
        <v>463</v>
      </c>
      <c r="B58" s="192"/>
      <c r="C58" s="192"/>
      <c r="D58" s="192"/>
      <c r="E58" s="192"/>
      <c r="F58" s="192"/>
      <c r="G58" s="192"/>
      <c r="H58" s="192"/>
      <c r="I58" s="192"/>
      <c r="J58" s="192"/>
      <c r="K58" s="248">
        <f>K$24*ParâmeetrosTRU!K58</f>
        <v>7965.9999999999991</v>
      </c>
      <c r="L58" s="248">
        <f>L$24*ParâmeetrosTRU!L58</f>
        <v>6441.9999999999991</v>
      </c>
      <c r="M58" s="248">
        <f>M$24*ParâmeetrosTRU!M58</f>
        <v>85541.999999999985</v>
      </c>
      <c r="N58" s="248">
        <f>N$24*ParâmeetrosTRU!N58</f>
        <v>9202.9999999999945</v>
      </c>
      <c r="O58" s="248">
        <f>O$24*ParâmeetrosTRU!O58</f>
        <v>19642.000000000011</v>
      </c>
      <c r="P58" s="248">
        <f>P$24*ParâmeetrosTRU!P58</f>
        <v>81426.999999999971</v>
      </c>
      <c r="Q58" s="248">
        <f>Q$24*ParâmeetrosTRU!Q58</f>
        <v>27009.999999999993</v>
      </c>
      <c r="R58" s="248">
        <f>R$24*ParâmeetrosTRU!R58</f>
        <v>20151.999999999996</v>
      </c>
      <c r="S58" s="248">
        <f>S$24*ParâmeetrosTRU!S58</f>
        <v>34958.999999999985</v>
      </c>
      <c r="T58" s="248">
        <f>T$24*ParâmeetrosTRU!T58</f>
        <v>1927.0000000000002</v>
      </c>
      <c r="U58" s="248">
        <f>U$24*ParâmeetrosTRU!U58</f>
        <v>99114</v>
      </c>
      <c r="V58" s="248">
        <f>V$24*ParâmeetrosTRU!V58</f>
        <v>147997</v>
      </c>
      <c r="W58" s="192">
        <f t="shared" si="5"/>
        <v>541381</v>
      </c>
      <c r="X58" s="192">
        <f t="shared" si="6"/>
        <v>541381</v>
      </c>
      <c r="AA58" s="219"/>
      <c r="AB58" s="376" t="s">
        <v>527</v>
      </c>
      <c r="AC58" s="378" t="s">
        <v>528</v>
      </c>
      <c r="AD58" s="380" t="s">
        <v>529</v>
      </c>
      <c r="AE58" s="220"/>
      <c r="CL58" s="192">
        <v>109783</v>
      </c>
    </row>
    <row r="59" spans="1:90" s="54" customFormat="1" ht="10.15" customHeight="1">
      <c r="A59" s="187" t="s">
        <v>464</v>
      </c>
      <c r="B59" s="192"/>
      <c r="C59" s="192"/>
      <c r="D59" s="192"/>
      <c r="E59" s="192"/>
      <c r="F59" s="192"/>
      <c r="G59" s="192"/>
      <c r="H59" s="192"/>
      <c r="I59" s="192"/>
      <c r="J59" s="192"/>
      <c r="K59" s="248">
        <f>K$24*ParâmeetrosTRU!K59</f>
        <v>0</v>
      </c>
      <c r="L59" s="248">
        <f>L$24*ParâmeetrosTRU!L59</f>
        <v>1042.9999999999998</v>
      </c>
      <c r="M59" s="248">
        <f>M$24*ParâmeetrosTRU!M59</f>
        <v>3699.9999999999991</v>
      </c>
      <c r="N59" s="248">
        <f>N$24*ParâmeetrosTRU!N59</f>
        <v>1756.9999999999991</v>
      </c>
      <c r="O59" s="248">
        <f>O$24*ParâmeetrosTRU!O59</f>
        <v>310.00000000000011</v>
      </c>
      <c r="P59" s="248">
        <f>P$24*ParâmeetrosTRU!P59</f>
        <v>731.99999999999966</v>
      </c>
      <c r="Q59" s="248">
        <f>Q$24*ParâmeetrosTRU!Q59</f>
        <v>1585.9999999999995</v>
      </c>
      <c r="R59" s="248">
        <f>R$24*ParâmeetrosTRU!R59</f>
        <v>1722.9999999999998</v>
      </c>
      <c r="S59" s="248">
        <f>S$24*ParâmeetrosTRU!S59</f>
        <v>6051.9999999999973</v>
      </c>
      <c r="T59" s="248">
        <f>T$24*ParâmeetrosTRU!T59</f>
        <v>47.000000000000007</v>
      </c>
      <c r="U59" s="248">
        <f>U$24*ParâmeetrosTRU!U59</f>
        <v>1829</v>
      </c>
      <c r="V59" s="248">
        <f>V$24*ParâmeetrosTRU!V59</f>
        <v>2457</v>
      </c>
      <c r="W59" s="192">
        <f t="shared" si="5"/>
        <v>21235.999999999996</v>
      </c>
      <c r="X59" s="192">
        <f t="shared" si="6"/>
        <v>21235.999999999996</v>
      </c>
      <c r="AA59" s="219"/>
      <c r="AB59" s="377"/>
      <c r="AC59" s="379"/>
      <c r="AD59" s="381"/>
      <c r="AE59" s="220"/>
      <c r="CL59" s="192">
        <v>152610</v>
      </c>
    </row>
    <row r="60" spans="1:90" s="54" customFormat="1" ht="10.15" customHeight="1">
      <c r="A60" s="187" t="s">
        <v>465</v>
      </c>
      <c r="B60" s="192"/>
      <c r="C60" s="192"/>
      <c r="D60" s="192"/>
      <c r="E60" s="192"/>
      <c r="F60" s="192"/>
      <c r="G60" s="192"/>
      <c r="H60" s="192"/>
      <c r="I60" s="192"/>
      <c r="J60" s="192"/>
      <c r="K60" s="248">
        <f>K$24*ParâmeetrosTRU!K60</f>
        <v>0</v>
      </c>
      <c r="L60" s="248">
        <f>L$24*ParâmeetrosTRU!L60</f>
        <v>0</v>
      </c>
      <c r="M60" s="248">
        <f>M$24*ParâmeetrosTRU!M60</f>
        <v>0</v>
      </c>
      <c r="N60" s="248">
        <f>N$24*ParâmeetrosTRU!N60</f>
        <v>0</v>
      </c>
      <c r="O60" s="248">
        <f>O$24*ParâmeetrosTRU!O60</f>
        <v>0</v>
      </c>
      <c r="P60" s="248">
        <f>P$24*ParâmeetrosTRU!P60</f>
        <v>0</v>
      </c>
      <c r="Q60" s="248">
        <f>Q$24*ParâmeetrosTRU!Q60</f>
        <v>0</v>
      </c>
      <c r="R60" s="248">
        <f>R$24*ParâmeetrosTRU!R60</f>
        <v>0</v>
      </c>
      <c r="S60" s="248">
        <f>S$24*ParâmeetrosTRU!S60</f>
        <v>0</v>
      </c>
      <c r="T60" s="248">
        <f>T$24*ParâmeetrosTRU!T60</f>
        <v>0</v>
      </c>
      <c r="U60" s="248">
        <f>U$24*ParâmeetrosTRU!U60</f>
        <v>0</v>
      </c>
      <c r="V60" s="248">
        <f>V$24*ParâmeetrosTRU!V60</f>
        <v>97765</v>
      </c>
      <c r="W60" s="192">
        <f t="shared" si="5"/>
        <v>97765</v>
      </c>
      <c r="X60" s="192">
        <f t="shared" si="6"/>
        <v>97765</v>
      </c>
      <c r="AA60" s="219"/>
      <c r="AB60" s="188"/>
      <c r="AC60" s="188"/>
      <c r="AD60" s="188"/>
      <c r="AE60" s="218"/>
      <c r="CL60" s="192">
        <v>379659</v>
      </c>
    </row>
    <row r="61" spans="1:90" s="54" customFormat="1" ht="10.15" customHeight="1">
      <c r="A61" s="54" t="s">
        <v>466</v>
      </c>
      <c r="B61" s="192"/>
      <c r="C61" s="192"/>
      <c r="D61" s="192"/>
      <c r="E61" s="192"/>
      <c r="F61" s="192"/>
      <c r="G61" s="192"/>
      <c r="H61" s="192"/>
      <c r="I61" s="192"/>
      <c r="J61" s="192"/>
      <c r="K61" s="248">
        <f>K$24*ParâmeetrosTRU!K61</f>
        <v>380742</v>
      </c>
      <c r="L61" s="248">
        <f>L$24*ParâmeetrosTRU!L61</f>
        <v>159959.99999999997</v>
      </c>
      <c r="M61" s="248">
        <f>M$24*ParâmeetrosTRU!M61</f>
        <v>353921.99999999994</v>
      </c>
      <c r="N61" s="248">
        <f>N$24*ParâmeetrosTRU!N61</f>
        <v>162639.99999999991</v>
      </c>
      <c r="O61" s="248">
        <f>O$24*ParâmeetrosTRU!O61</f>
        <v>154409.00000000006</v>
      </c>
      <c r="P61" s="248">
        <f>P$24*ParâmeetrosTRU!P61</f>
        <v>408142.99999999988</v>
      </c>
      <c r="Q61" s="248">
        <f>Q$24*ParâmeetrosTRU!Q61</f>
        <v>123265.99999999996</v>
      </c>
      <c r="R61" s="248">
        <f>R$24*ParâmeetrosTRU!R61</f>
        <v>125590</v>
      </c>
      <c r="S61" s="248">
        <f>S$24*ParâmeetrosTRU!S61</f>
        <v>264002.99999999988</v>
      </c>
      <c r="T61" s="248">
        <f>T$24*ParâmeetrosTRU!T61</f>
        <v>646363.00000000012</v>
      </c>
      <c r="U61" s="248">
        <f>U$24*ParâmeetrosTRU!U61</f>
        <v>419492</v>
      </c>
      <c r="V61" s="248">
        <f>V$24*ParâmeetrosTRU!V61</f>
        <v>117672.99999999999</v>
      </c>
      <c r="W61" s="192">
        <f t="shared" si="5"/>
        <v>3316203</v>
      </c>
      <c r="X61" s="192">
        <f t="shared" si="6"/>
        <v>3316203</v>
      </c>
      <c r="AA61" s="214" t="s">
        <v>511</v>
      </c>
      <c r="AB61" s="215"/>
      <c r="AC61" s="215"/>
      <c r="AD61" s="215"/>
      <c r="AE61" s="216"/>
      <c r="CL61" s="192">
        <v>643203</v>
      </c>
    </row>
    <row r="62" spans="1:90" s="54" customFormat="1" ht="10.15" customHeight="1">
      <c r="A62" s="187" t="s">
        <v>467</v>
      </c>
      <c r="B62" s="192"/>
      <c r="C62" s="192"/>
      <c r="D62" s="192"/>
      <c r="E62" s="192"/>
      <c r="F62" s="192"/>
      <c r="G62" s="192"/>
      <c r="H62" s="192"/>
      <c r="I62" s="192"/>
      <c r="J62" s="192"/>
      <c r="K62" s="248">
        <f>K$24*ParâmeetrosTRU!K62</f>
        <v>203321.00000000003</v>
      </c>
      <c r="L62" s="248">
        <f>L$24*ParâmeetrosTRU!L62</f>
        <v>245.99999999999994</v>
      </c>
      <c r="M62" s="248">
        <f>M$24*ParâmeetrosTRU!M62</f>
        <v>26997.999999999996</v>
      </c>
      <c r="N62" s="248">
        <f>N$24*ParâmeetrosTRU!N62</f>
        <v>1341.9999999999993</v>
      </c>
      <c r="O62" s="248">
        <f>O$24*ParâmeetrosTRU!O62</f>
        <v>65864.000000000029</v>
      </c>
      <c r="P62" s="248">
        <f>P$24*ParâmeetrosTRU!P62</f>
        <v>82744.999999999971</v>
      </c>
      <c r="Q62" s="248">
        <f>Q$24*ParâmeetrosTRU!Q62</f>
        <v>29288.999999999989</v>
      </c>
      <c r="R62" s="248">
        <f>R$24*ParâmeetrosTRU!R62</f>
        <v>11696.999999999998</v>
      </c>
      <c r="S62" s="248">
        <f>S$24*ParâmeetrosTRU!S62</f>
        <v>3240.9999999999986</v>
      </c>
      <c r="T62" s="248">
        <f>T$24*ParâmeetrosTRU!T62</f>
        <v>4446.0000000000009</v>
      </c>
      <c r="U62" s="248">
        <f>U$24*ParâmeetrosTRU!U62</f>
        <v>204175</v>
      </c>
      <c r="V62" s="248">
        <f>V$24*ParâmeetrosTRU!V62</f>
        <v>0</v>
      </c>
      <c r="W62" s="192">
        <f t="shared" si="5"/>
        <v>633364</v>
      </c>
      <c r="X62" s="192">
        <f t="shared" si="6"/>
        <v>633364</v>
      </c>
      <c r="AA62" s="221"/>
      <c r="AB62" s="376" t="s">
        <v>530</v>
      </c>
      <c r="AC62" s="382" t="s">
        <v>531</v>
      </c>
      <c r="AD62" s="368" t="s">
        <v>532</v>
      </c>
      <c r="AE62" s="218"/>
      <c r="CL62" s="192">
        <v>915862</v>
      </c>
    </row>
    <row r="63" spans="1:90" s="54" customFormat="1" ht="10.15" customHeight="1">
      <c r="A63" s="187" t="s">
        <v>468</v>
      </c>
      <c r="B63" s="192"/>
      <c r="C63" s="192"/>
      <c r="D63" s="192"/>
      <c r="E63" s="192"/>
      <c r="F63" s="192"/>
      <c r="G63" s="192"/>
      <c r="H63" s="192"/>
      <c r="I63" s="192"/>
      <c r="J63" s="192"/>
      <c r="K63" s="248">
        <f>K$24*ParâmeetrosTRU!K63</f>
        <v>177421</v>
      </c>
      <c r="L63" s="248">
        <f>L$24*ParâmeetrosTRU!L63</f>
        <v>159714</v>
      </c>
      <c r="M63" s="248">
        <f>M$24*ParâmeetrosTRU!M63</f>
        <v>326923.99999999994</v>
      </c>
      <c r="N63" s="248">
        <f>N$24*ParâmeetrosTRU!N63</f>
        <v>161297.99999999994</v>
      </c>
      <c r="O63" s="248">
        <f>O$24*ParâmeetrosTRU!O63</f>
        <v>88545.000000000044</v>
      </c>
      <c r="P63" s="248">
        <f>P$24*ParâmeetrosTRU!P63</f>
        <v>325397.99999999988</v>
      </c>
      <c r="Q63" s="248">
        <f>Q$24*ParâmeetrosTRU!Q63</f>
        <v>93976.999999999956</v>
      </c>
      <c r="R63" s="248">
        <f>R$24*ParâmeetrosTRU!R63</f>
        <v>113892.99999999997</v>
      </c>
      <c r="S63" s="248">
        <f>S$24*ParâmeetrosTRU!S63</f>
        <v>260761.99999999991</v>
      </c>
      <c r="T63" s="248">
        <f>T$24*ParâmeetrosTRU!T63</f>
        <v>641917.00000000012</v>
      </c>
      <c r="U63" s="248">
        <f>U$24*ParâmeetrosTRU!U63</f>
        <v>215317</v>
      </c>
      <c r="V63" s="248">
        <f>V$24*ParâmeetrosTRU!V63</f>
        <v>117672.99999999999</v>
      </c>
      <c r="W63" s="192">
        <f t="shared" si="5"/>
        <v>2682839</v>
      </c>
      <c r="X63" s="192">
        <f t="shared" si="6"/>
        <v>2682839</v>
      </c>
      <c r="AA63" s="219"/>
      <c r="AB63" s="376"/>
      <c r="AC63" s="382"/>
      <c r="AD63" s="368"/>
      <c r="AE63" s="218"/>
      <c r="CL63" s="192">
        <v>0</v>
      </c>
    </row>
    <row r="64" spans="1:90" s="54" customFormat="1" ht="10.15" customHeight="1">
      <c r="A64" s="187" t="s">
        <v>533</v>
      </c>
      <c r="B64" s="192"/>
      <c r="C64" s="192"/>
      <c r="D64" s="192"/>
      <c r="E64" s="192"/>
      <c r="F64" s="192"/>
      <c r="G64" s="192"/>
      <c r="H64" s="192"/>
      <c r="I64" s="192">
        <f>I65+I66</f>
        <v>1014660</v>
      </c>
      <c r="J64" s="192"/>
      <c r="K64" s="248">
        <f>K$24*ParâmeetrosTRU!K64</f>
        <v>-2547</v>
      </c>
      <c r="L64" s="248">
        <f>L$24*ParâmeetrosTRU!L64</f>
        <v>2624.9999999999995</v>
      </c>
      <c r="M64" s="248">
        <f>M$24*ParâmeetrosTRU!M64</f>
        <v>27859.999999999996</v>
      </c>
      <c r="N64" s="248">
        <f>N$24*ParâmeetrosTRU!N64</f>
        <v>4131.9999999999982</v>
      </c>
      <c r="O64" s="248">
        <f>O$24*ParâmeetrosTRU!O64</f>
        <v>3298.0000000000009</v>
      </c>
      <c r="P64" s="248">
        <f>P$24*ParâmeetrosTRU!P64</f>
        <v>12934.999999999996</v>
      </c>
      <c r="Q64" s="248">
        <f>Q$24*ParâmeetrosTRU!Q64</f>
        <v>5556.9999999999973</v>
      </c>
      <c r="R64" s="248">
        <f>R$24*ParâmeetrosTRU!R64</f>
        <v>5678.9999999999991</v>
      </c>
      <c r="S64" s="248">
        <f>S$24*ParâmeetrosTRU!S64</f>
        <v>9261.9999999999982</v>
      </c>
      <c r="T64" s="248">
        <f>T$24*ParâmeetrosTRU!T64</f>
        <v>626.00000000000011</v>
      </c>
      <c r="U64" s="248">
        <f>U$24*ParâmeetrosTRU!U64</f>
        <v>16686</v>
      </c>
      <c r="V64" s="248">
        <f>V$24*ParâmeetrosTRU!V64</f>
        <v>278</v>
      </c>
      <c r="W64" s="192">
        <f t="shared" si="5"/>
        <v>86390.999999999985</v>
      </c>
      <c r="X64" s="192">
        <f>I64+W64</f>
        <v>1101051</v>
      </c>
      <c r="AA64" s="219"/>
      <c r="AB64" s="376"/>
      <c r="AC64" s="382"/>
      <c r="AD64" s="368"/>
      <c r="AE64" s="218"/>
      <c r="CL64" s="192">
        <v>4805004</v>
      </c>
    </row>
    <row r="65" spans="1:31" s="54" customFormat="1" ht="10.15" customHeight="1">
      <c r="A65" s="187" t="s">
        <v>534</v>
      </c>
      <c r="B65" s="192"/>
      <c r="C65" s="192"/>
      <c r="D65" s="192"/>
      <c r="E65" s="192"/>
      <c r="F65" s="192"/>
      <c r="G65" s="192"/>
      <c r="H65" s="192"/>
      <c r="I65" s="192">
        <v>1020210</v>
      </c>
      <c r="J65" s="192"/>
      <c r="K65" s="248">
        <f>K$24*ParâmeetrosTRU!K65</f>
        <v>0</v>
      </c>
      <c r="L65" s="248">
        <f>L$24*ParâmeetrosTRU!L65</f>
        <v>0</v>
      </c>
      <c r="M65" s="248">
        <f>M$24*ParâmeetrosTRU!M65</f>
        <v>0</v>
      </c>
      <c r="N65" s="248">
        <f>N$24*ParâmeetrosTRU!N65</f>
        <v>0</v>
      </c>
      <c r="O65" s="248">
        <f>O$24*ParâmeetrosTRU!O65</f>
        <v>0</v>
      </c>
      <c r="P65" s="248">
        <f>P$24*ParâmeetrosTRU!P65</f>
        <v>0</v>
      </c>
      <c r="Q65" s="248">
        <f>Q$24*ParâmeetrosTRU!Q65</f>
        <v>0</v>
      </c>
      <c r="R65" s="248">
        <f>R$24*ParâmeetrosTRU!R65</f>
        <v>0</v>
      </c>
      <c r="S65" s="248">
        <f>S$24*ParâmeetrosTRU!S65</f>
        <v>0</v>
      </c>
      <c r="T65" s="248">
        <f>T$24*ParâmeetrosTRU!T65</f>
        <v>0</v>
      </c>
      <c r="U65" s="248">
        <f>U$24*ParâmeetrosTRU!U65</f>
        <v>0</v>
      </c>
      <c r="V65" s="248">
        <f>V$24*ParâmeetrosTRU!V65</f>
        <v>0</v>
      </c>
      <c r="W65" s="192">
        <f t="shared" si="5"/>
        <v>0</v>
      </c>
      <c r="X65" s="192">
        <f t="shared" si="6"/>
        <v>1020210</v>
      </c>
      <c r="AA65" s="219"/>
      <c r="AB65" s="376"/>
      <c r="AC65" s="382"/>
      <c r="AD65" s="368"/>
      <c r="AE65" s="218"/>
    </row>
    <row r="66" spans="1:31" s="54" customFormat="1" ht="10.15" customHeight="1">
      <c r="A66" s="187" t="s">
        <v>535</v>
      </c>
      <c r="B66" s="192"/>
      <c r="C66" s="192"/>
      <c r="D66" s="192"/>
      <c r="E66" s="192"/>
      <c r="F66" s="192"/>
      <c r="G66" s="192"/>
      <c r="H66" s="192"/>
      <c r="I66" s="192">
        <v>-5550</v>
      </c>
      <c r="J66" s="192"/>
      <c r="K66" s="248">
        <f>K$24*ParâmeetrosTRU!K66</f>
        <v>0</v>
      </c>
      <c r="L66" s="248">
        <f>L$24*ParâmeetrosTRU!L66</f>
        <v>0</v>
      </c>
      <c r="M66" s="248">
        <f>M$24*ParâmeetrosTRU!M66</f>
        <v>0</v>
      </c>
      <c r="N66" s="248">
        <f>N$24*ParâmeetrosTRU!N66</f>
        <v>0</v>
      </c>
      <c r="O66" s="248">
        <f>O$24*ParâmeetrosTRU!O66</f>
        <v>0</v>
      </c>
      <c r="P66" s="248">
        <f>P$24*ParâmeetrosTRU!P66</f>
        <v>0</v>
      </c>
      <c r="Q66" s="248">
        <f>Q$24*ParâmeetrosTRU!Q66</f>
        <v>0</v>
      </c>
      <c r="R66" s="248">
        <f>R$24*ParâmeetrosTRU!R66</f>
        <v>0</v>
      </c>
      <c r="S66" s="248">
        <f>S$24*ParâmeetrosTRU!S66</f>
        <v>0</v>
      </c>
      <c r="T66" s="248">
        <f>T$24*ParâmeetrosTRU!T66</f>
        <v>0</v>
      </c>
      <c r="U66" s="248">
        <f>U$24*ParâmeetrosTRU!U66</f>
        <v>0</v>
      </c>
      <c r="V66" s="248">
        <f>V$24*ParâmeetrosTRU!V66</f>
        <v>0</v>
      </c>
      <c r="W66" s="192">
        <f t="shared" si="5"/>
        <v>0</v>
      </c>
      <c r="X66" s="192">
        <f t="shared" si="6"/>
        <v>-5550</v>
      </c>
      <c r="AA66" s="219"/>
      <c r="AB66" s="188"/>
      <c r="AC66" s="188"/>
      <c r="AD66" s="188"/>
      <c r="AE66" s="218"/>
    </row>
    <row r="67" spans="1:31" s="54" customFormat="1" ht="10.15" customHeight="1">
      <c r="A67" s="187" t="s">
        <v>536</v>
      </c>
      <c r="B67" s="192"/>
      <c r="C67" s="192"/>
      <c r="D67" s="192"/>
      <c r="E67" s="192"/>
      <c r="F67" s="192"/>
      <c r="G67" s="192"/>
      <c r="H67" s="192"/>
      <c r="I67" s="192"/>
      <c r="J67" s="192"/>
      <c r="K67" s="248">
        <f>K$24*ParâmeetrosTRU!K67</f>
        <v>3036</v>
      </c>
      <c r="L67" s="248">
        <f>L$24*ParâmeetrosTRU!L67</f>
        <v>2655.9999999999995</v>
      </c>
      <c r="M67" s="248">
        <f>M$24*ParâmeetrosTRU!M67</f>
        <v>28536.999999999996</v>
      </c>
      <c r="N67" s="248">
        <f>N$24*ParâmeetrosTRU!N67</f>
        <v>4185.9999999999982</v>
      </c>
      <c r="O67" s="248">
        <f>O$24*ParâmeetrosTRU!O67</f>
        <v>3429.0000000000014</v>
      </c>
      <c r="P67" s="248">
        <f>P$24*ParâmeetrosTRU!P67</f>
        <v>13167.999999999996</v>
      </c>
      <c r="Q67" s="248">
        <f>Q$24*ParâmeetrosTRU!Q67</f>
        <v>6168.9999999999973</v>
      </c>
      <c r="R67" s="248">
        <f>R$24*ParâmeetrosTRU!R67</f>
        <v>5701.9999999999991</v>
      </c>
      <c r="S67" s="248">
        <f>S$24*ParâmeetrosTRU!S67</f>
        <v>9261.9999999999982</v>
      </c>
      <c r="T67" s="248">
        <f>T$24*ParâmeetrosTRU!T67</f>
        <v>626.00000000000011</v>
      </c>
      <c r="U67" s="248">
        <f>U$24*ParâmeetrosTRU!U67</f>
        <v>17439</v>
      </c>
      <c r="V67" s="248">
        <f>V$24*ParâmeetrosTRU!V67</f>
        <v>278</v>
      </c>
      <c r="W67" s="192">
        <f t="shared" si="5"/>
        <v>94488</v>
      </c>
      <c r="X67" s="192">
        <f t="shared" si="6"/>
        <v>94488</v>
      </c>
      <c r="AA67" s="219"/>
      <c r="AB67" s="369" t="s">
        <v>537</v>
      </c>
      <c r="AC67" s="370"/>
      <c r="AD67" s="188"/>
      <c r="AE67" s="218"/>
    </row>
    <row r="68" spans="1:31" s="54" customFormat="1" ht="10.15" customHeight="1">
      <c r="A68" s="187" t="s">
        <v>538</v>
      </c>
      <c r="B68" s="192"/>
      <c r="C68" s="192"/>
      <c r="D68" s="192"/>
      <c r="E68" s="192"/>
      <c r="F68" s="192"/>
      <c r="G68" s="192"/>
      <c r="H68" s="192"/>
      <c r="I68" s="192"/>
      <c r="J68" s="192"/>
      <c r="K68" s="248">
        <f>K$24*ParâmeetrosTRU!K68</f>
        <v>-5583</v>
      </c>
      <c r="L68" s="248">
        <f>L$24*ParâmeetrosTRU!L68</f>
        <v>-30.999999999999993</v>
      </c>
      <c r="M68" s="248">
        <f>M$24*ParâmeetrosTRU!M68</f>
        <v>-676.99999999999989</v>
      </c>
      <c r="N68" s="248">
        <f>N$24*ParâmeetrosTRU!N68</f>
        <v>-53.999999999999972</v>
      </c>
      <c r="O68" s="248">
        <f>O$24*ParâmeetrosTRU!O68</f>
        <v>-131.00000000000006</v>
      </c>
      <c r="P68" s="248">
        <f>P$24*ParâmeetrosTRU!P68</f>
        <v>-232.99999999999994</v>
      </c>
      <c r="Q68" s="248">
        <f>Q$24*ParâmeetrosTRU!Q68</f>
        <v>-611.99999999999977</v>
      </c>
      <c r="R68" s="248">
        <f>R$24*ParâmeetrosTRU!R68</f>
        <v>-22.999999999999996</v>
      </c>
      <c r="S68" s="248">
        <f>S$24*ParâmeetrosTRU!S68</f>
        <v>0</v>
      </c>
      <c r="T68" s="248">
        <f>T$24*ParâmeetrosTRU!T68</f>
        <v>0</v>
      </c>
      <c r="U68" s="248">
        <f>U$24*ParâmeetrosTRU!U68</f>
        <v>-753</v>
      </c>
      <c r="V68" s="248">
        <f>V$24*ParâmeetrosTRU!V68</f>
        <v>0</v>
      </c>
      <c r="W68" s="192">
        <f t="shared" si="5"/>
        <v>-8097</v>
      </c>
      <c r="X68" s="192">
        <f t="shared" si="6"/>
        <v>-8097</v>
      </c>
      <c r="AA68" s="219"/>
      <c r="AB68" s="370"/>
      <c r="AC68" s="370"/>
      <c r="AE68" s="218"/>
    </row>
    <row r="69" spans="1:31" s="54" customFormat="1" ht="10.15" customHeight="1">
      <c r="A69" s="187" t="s">
        <v>469</v>
      </c>
      <c r="B69" s="192"/>
      <c r="C69" s="192"/>
      <c r="D69" s="192"/>
      <c r="E69" s="192"/>
      <c r="F69" s="192"/>
      <c r="G69" s="192"/>
      <c r="H69" s="192"/>
      <c r="I69" s="192"/>
      <c r="J69" s="192"/>
      <c r="K69" s="248">
        <f>K$24*ParâmeetrosTRU!K69</f>
        <v>795761</v>
      </c>
      <c r="L69" s="248">
        <f>L$24*ParâmeetrosTRU!L69</f>
        <v>442030.99999999994</v>
      </c>
      <c r="M69" s="248">
        <f>M$24*ParâmeetrosTRU!M69</f>
        <v>3769375.9999999995</v>
      </c>
      <c r="N69" s="248">
        <f>N$24*ParâmeetrosTRU!N69</f>
        <v>454740.99999999977</v>
      </c>
      <c r="O69" s="248">
        <f>O$24*ParâmeetrosTRU!O69</f>
        <v>612501.00000000023</v>
      </c>
      <c r="P69" s="248">
        <f>P$24*ParâmeetrosTRU!P69</f>
        <v>1404550.9999999995</v>
      </c>
      <c r="Q69" s="248">
        <f>Q$24*ParâmeetrosTRU!Q69</f>
        <v>628900.99999999977</v>
      </c>
      <c r="R69" s="248">
        <f>R$24*ParâmeetrosTRU!R69</f>
        <v>435647.99999999994</v>
      </c>
      <c r="S69" s="248">
        <f>S$24*ParâmeetrosTRU!S69</f>
        <v>700902.99999999977</v>
      </c>
      <c r="T69" s="248">
        <f>T$24*ParâmeetrosTRU!T69</f>
        <v>711631.00000000012</v>
      </c>
      <c r="U69" s="248">
        <f>U$24*ParâmeetrosTRU!U69</f>
        <v>1813025</v>
      </c>
      <c r="V69" s="248">
        <f>V$24*ParâmeetrosTRU!V69</f>
        <v>1537130</v>
      </c>
      <c r="W69" s="192">
        <f t="shared" si="5"/>
        <v>13306199</v>
      </c>
      <c r="X69" s="192">
        <f t="shared" si="6"/>
        <v>13306199</v>
      </c>
      <c r="AA69" s="219"/>
      <c r="AB69" s="370"/>
      <c r="AC69" s="370"/>
      <c r="AE69" s="218"/>
    </row>
    <row r="70" spans="1:31" s="54" customFormat="1" ht="10.15" customHeight="1" thickBot="1">
      <c r="A70" s="54" t="s">
        <v>470</v>
      </c>
      <c r="B70" s="192"/>
      <c r="C70" s="192"/>
      <c r="D70" s="192"/>
      <c r="E70" s="192"/>
      <c r="F70" s="192"/>
      <c r="G70" s="192"/>
      <c r="H70" s="192"/>
      <c r="I70" s="192"/>
      <c r="J70" s="192"/>
      <c r="K70" s="192">
        <v>12560399</v>
      </c>
      <c r="L70" s="192">
        <v>212274</v>
      </c>
      <c r="M70" s="192">
        <v>10560359</v>
      </c>
      <c r="N70" s="192">
        <v>742087</v>
      </c>
      <c r="O70" s="192">
        <v>7047825</v>
      </c>
      <c r="P70" s="192">
        <v>17613390</v>
      </c>
      <c r="Q70" s="192">
        <v>4932125</v>
      </c>
      <c r="R70" s="192">
        <v>1405295</v>
      </c>
      <c r="S70" s="192">
        <v>1410816</v>
      </c>
      <c r="T70" s="192">
        <v>502337</v>
      </c>
      <c r="U70" s="192">
        <v>30453062</v>
      </c>
      <c r="V70" s="192">
        <v>11814707</v>
      </c>
      <c r="W70" s="192">
        <f>SUM(K70:V70)</f>
        <v>99254676</v>
      </c>
      <c r="X70" s="192">
        <f t="shared" si="6"/>
        <v>99254676</v>
      </c>
      <c r="AA70" s="222"/>
      <c r="AB70" s="223"/>
      <c r="AC70" s="223"/>
      <c r="AD70" s="224"/>
      <c r="AE70" s="225"/>
    </row>
    <row r="71" spans="1:31" s="54" customFormat="1" ht="6" customHeight="1" thickTop="1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8"/>
    </row>
    <row r="72" spans="1:31" s="54" customFormat="1" ht="15" customHeight="1">
      <c r="A72" s="54" t="s">
        <v>106</v>
      </c>
      <c r="K72" s="54">
        <f t="array" ref="K72:W72">TRANSPOSE(Original!B39:B51)</f>
        <v>938989</v>
      </c>
      <c r="L72" s="54">
        <v>474641</v>
      </c>
      <c r="M72" s="54">
        <v>6468662</v>
      </c>
      <c r="N72" s="54">
        <v>532996</v>
      </c>
      <c r="O72" s="54">
        <v>683264</v>
      </c>
      <c r="P72" s="54">
        <v>140737</v>
      </c>
      <c r="Q72" s="54">
        <v>568288</v>
      </c>
      <c r="R72" s="54">
        <v>535541</v>
      </c>
      <c r="S72" s="54">
        <v>800076</v>
      </c>
      <c r="T72" s="229">
        <v>793035</v>
      </c>
      <c r="U72" s="229">
        <v>2125358</v>
      </c>
      <c r="V72" s="229">
        <v>1465281</v>
      </c>
      <c r="W72" s="229">
        <v>15526868</v>
      </c>
      <c r="X72" s="229"/>
      <c r="AA72" s="197"/>
      <c r="AB72" s="197"/>
      <c r="AC72" s="197"/>
      <c r="AD72" s="197"/>
      <c r="AE72" s="197"/>
    </row>
    <row r="73" spans="1:31" ht="15" customHeight="1">
      <c r="A73" s="54" t="s">
        <v>539</v>
      </c>
    </row>
  </sheetData>
  <mergeCells count="89">
    <mergeCell ref="N6:N9"/>
    <mergeCell ref="A5:A9"/>
    <mergeCell ref="X5:X9"/>
    <mergeCell ref="Y5:Y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L6:L9"/>
    <mergeCell ref="M6:M9"/>
    <mergeCell ref="U6:U9"/>
    <mergeCell ref="V6:V9"/>
    <mergeCell ref="W6:W9"/>
    <mergeCell ref="A33:A37"/>
    <mergeCell ref="B33:B37"/>
    <mergeCell ref="C33:C37"/>
    <mergeCell ref="D33:D37"/>
    <mergeCell ref="E33:E37"/>
    <mergeCell ref="F33:F37"/>
    <mergeCell ref="G33:G37"/>
    <mergeCell ref="O6:O9"/>
    <mergeCell ref="P6:P9"/>
    <mergeCell ref="Q6:Q9"/>
    <mergeCell ref="R6:R9"/>
    <mergeCell ref="S6:S9"/>
    <mergeCell ref="T6:T9"/>
    <mergeCell ref="U34:U37"/>
    <mergeCell ref="H33:H37"/>
    <mergeCell ref="I33:I37"/>
    <mergeCell ref="J33:J37"/>
    <mergeCell ref="X33:X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AJ34:AJ37"/>
    <mergeCell ref="V34:V37"/>
    <mergeCell ref="W34:W37"/>
    <mergeCell ref="Y34:Y37"/>
    <mergeCell ref="Z34:Z37"/>
    <mergeCell ref="AA34:AA37"/>
    <mergeCell ref="AB34:AB37"/>
    <mergeCell ref="AF33:AF37"/>
    <mergeCell ref="AC34:AC37"/>
    <mergeCell ref="AD34:AD37"/>
    <mergeCell ref="AE34:AE37"/>
    <mergeCell ref="AH34:AH37"/>
    <mergeCell ref="AI34:AI37"/>
    <mergeCell ref="BI34:BI37"/>
    <mergeCell ref="BJ34:BJ37"/>
    <mergeCell ref="AK34:AK37"/>
    <mergeCell ref="AL34:AL37"/>
    <mergeCell ref="AM34:AM37"/>
    <mergeCell ref="AN34:AN37"/>
    <mergeCell ref="AO34:AO37"/>
    <mergeCell ref="AP34:AP37"/>
    <mergeCell ref="BQ34:BQ37"/>
    <mergeCell ref="BR34:BR37"/>
    <mergeCell ref="BS34:BS37"/>
    <mergeCell ref="AB58:AB59"/>
    <mergeCell ref="AC58:AC59"/>
    <mergeCell ref="AD58:AD59"/>
    <mergeCell ref="BK34:BK37"/>
    <mergeCell ref="BL34:BL37"/>
    <mergeCell ref="BM34:BM37"/>
    <mergeCell ref="BN34:BN37"/>
    <mergeCell ref="BO34:BO37"/>
    <mergeCell ref="BP34:BP37"/>
    <mergeCell ref="AQ34:AQ37"/>
    <mergeCell ref="AR34:AR37"/>
    <mergeCell ref="AS34:AS37"/>
    <mergeCell ref="BH34:BH37"/>
    <mergeCell ref="AB62:AB65"/>
    <mergeCell ref="AC62:AC65"/>
    <mergeCell ref="AD62:AD65"/>
    <mergeCell ref="AB67:AC69"/>
    <mergeCell ref="A52:W5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DA51-CD47-4823-89B3-DD1EAF3BF678}">
  <dimension ref="A1:V33"/>
  <sheetViews>
    <sheetView showGridLines="0" workbookViewId="0"/>
  </sheetViews>
  <sheetFormatPr defaultColWidth="12" defaultRowHeight="8.25"/>
  <cols>
    <col min="1" max="1" width="25.796875" style="11" customWidth="1"/>
    <col min="2" max="10" width="10.796875" style="11" customWidth="1"/>
    <col min="11" max="11" width="15.796875" style="11" customWidth="1"/>
    <col min="12" max="12" width="70.796875" style="11" customWidth="1"/>
    <col min="13" max="21" width="10.796875" style="11" customWidth="1"/>
    <col min="22" max="22" width="25.796875" style="11" customWidth="1"/>
    <col min="23" max="16384" width="12" style="11"/>
  </cols>
  <sheetData>
    <row r="1" spans="1:22" s="91" customFormat="1" ht="11.25">
      <c r="A1" s="88" t="s">
        <v>411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90"/>
      <c r="O1" s="89"/>
      <c r="P1" s="89"/>
      <c r="Q1" s="89"/>
      <c r="R1" s="89"/>
      <c r="S1" s="89"/>
      <c r="T1" s="89"/>
      <c r="U1" s="89"/>
      <c r="V1" s="89"/>
    </row>
    <row r="2" spans="1:22" s="91" customFormat="1" ht="11.25">
      <c r="A2" s="88" t="s">
        <v>372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90"/>
      <c r="O2" s="89"/>
      <c r="P2" s="89"/>
      <c r="Q2" s="89"/>
      <c r="R2" s="89"/>
      <c r="S2" s="89"/>
      <c r="T2" s="89"/>
      <c r="U2" s="89"/>
      <c r="V2" s="89"/>
    </row>
    <row r="3" spans="1:22" ht="6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</row>
    <row r="4" spans="1:22" ht="21" customHeight="1">
      <c r="A4" s="325" t="s">
        <v>0</v>
      </c>
      <c r="B4" s="325" t="s">
        <v>1</v>
      </c>
      <c r="C4" s="92" t="s">
        <v>264</v>
      </c>
      <c r="D4" s="93"/>
      <c r="E4" s="310" t="s">
        <v>267</v>
      </c>
      <c r="F4" s="310" t="s">
        <v>285</v>
      </c>
      <c r="G4" s="310" t="s">
        <v>2</v>
      </c>
      <c r="H4" s="310" t="s">
        <v>293</v>
      </c>
      <c r="I4" s="310" t="s">
        <v>266</v>
      </c>
      <c r="J4" s="310" t="s">
        <v>265</v>
      </c>
      <c r="K4" s="325" t="s">
        <v>3</v>
      </c>
      <c r="L4" s="325" t="s">
        <v>391</v>
      </c>
      <c r="M4" s="310" t="s">
        <v>265</v>
      </c>
      <c r="N4" s="310" t="s">
        <v>266</v>
      </c>
      <c r="O4" s="310" t="s">
        <v>293</v>
      </c>
      <c r="P4" s="310" t="s">
        <v>2</v>
      </c>
      <c r="Q4" s="310" t="s">
        <v>285</v>
      </c>
      <c r="R4" s="310" t="s">
        <v>267</v>
      </c>
      <c r="S4" s="92" t="s">
        <v>264</v>
      </c>
      <c r="T4" s="93"/>
      <c r="U4" s="325" t="s">
        <v>1</v>
      </c>
      <c r="V4" s="325" t="s">
        <v>0</v>
      </c>
    </row>
    <row r="5" spans="1:22" ht="15" customHeight="1">
      <c r="A5" s="326"/>
      <c r="B5" s="326"/>
      <c r="C5" s="310" t="s">
        <v>4</v>
      </c>
      <c r="D5" s="310" t="s">
        <v>5</v>
      </c>
      <c r="E5" s="311"/>
      <c r="F5" s="311"/>
      <c r="G5" s="311"/>
      <c r="H5" s="311"/>
      <c r="I5" s="311"/>
      <c r="J5" s="311"/>
      <c r="K5" s="326"/>
      <c r="L5" s="326"/>
      <c r="M5" s="311"/>
      <c r="N5" s="311"/>
      <c r="O5" s="311"/>
      <c r="P5" s="311"/>
      <c r="Q5" s="311"/>
      <c r="R5" s="311"/>
      <c r="S5" s="310" t="s">
        <v>5</v>
      </c>
      <c r="T5" s="310" t="s">
        <v>268</v>
      </c>
      <c r="U5" s="326"/>
      <c r="V5" s="326"/>
    </row>
    <row r="6" spans="1:22" ht="15" customHeight="1">
      <c r="A6" s="326"/>
      <c r="B6" s="326"/>
      <c r="C6" s="311"/>
      <c r="D6" s="311"/>
      <c r="E6" s="311"/>
      <c r="F6" s="311"/>
      <c r="G6" s="311"/>
      <c r="H6" s="311"/>
      <c r="I6" s="311"/>
      <c r="J6" s="311"/>
      <c r="K6" s="326"/>
      <c r="L6" s="326"/>
      <c r="M6" s="311"/>
      <c r="N6" s="311"/>
      <c r="O6" s="311"/>
      <c r="P6" s="311"/>
      <c r="Q6" s="311"/>
      <c r="R6" s="311"/>
      <c r="S6" s="311"/>
      <c r="T6" s="311"/>
      <c r="U6" s="326"/>
      <c r="V6" s="326"/>
    </row>
    <row r="7" spans="1:22" ht="15" customHeight="1">
      <c r="A7" s="327"/>
      <c r="B7" s="327"/>
      <c r="C7" s="312"/>
      <c r="D7" s="312"/>
      <c r="E7" s="312"/>
      <c r="F7" s="312"/>
      <c r="G7" s="312"/>
      <c r="H7" s="312"/>
      <c r="I7" s="312"/>
      <c r="J7" s="312"/>
      <c r="K7" s="327"/>
      <c r="L7" s="327"/>
      <c r="M7" s="312"/>
      <c r="N7" s="312"/>
      <c r="O7" s="312"/>
      <c r="P7" s="312"/>
      <c r="Q7" s="312"/>
      <c r="R7" s="312"/>
      <c r="S7" s="312"/>
      <c r="T7" s="312"/>
      <c r="U7" s="327"/>
      <c r="V7" s="327"/>
    </row>
    <row r="8" spans="1:22" ht="15" customHeight="1">
      <c r="A8" s="446"/>
      <c r="B8" s="447"/>
      <c r="C8" s="447"/>
      <c r="D8" s="447"/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47"/>
      <c r="P8" s="447"/>
      <c r="Q8" s="447"/>
      <c r="R8" s="447"/>
      <c r="S8" s="447"/>
      <c r="T8" s="447"/>
      <c r="U8" s="447"/>
      <c r="V8" s="448"/>
    </row>
    <row r="9" spans="1:22" ht="12" customHeight="1">
      <c r="A9" s="43" t="s">
        <v>6</v>
      </c>
      <c r="B9" s="12"/>
      <c r="C9" s="13"/>
      <c r="D9" s="94"/>
      <c r="E9" s="94"/>
      <c r="F9" s="12"/>
      <c r="G9" s="12"/>
      <c r="H9" s="13"/>
      <c r="I9" s="13"/>
      <c r="J9" s="13"/>
      <c r="K9" s="95"/>
      <c r="L9" s="95"/>
      <c r="M9" s="96" t="s">
        <v>6</v>
      </c>
      <c r="N9" s="13"/>
      <c r="O9" s="13"/>
      <c r="P9" s="12"/>
      <c r="Q9" s="12"/>
      <c r="R9" s="94"/>
      <c r="S9" s="94"/>
      <c r="T9" s="13"/>
      <c r="U9" s="12"/>
      <c r="V9" s="38"/>
    </row>
    <row r="10" spans="1:22" ht="12" customHeight="1" thickBot="1">
      <c r="A10" s="42" t="s">
        <v>7</v>
      </c>
      <c r="B10" s="15"/>
      <c r="C10" s="97"/>
      <c r="D10" s="97"/>
      <c r="E10" s="16"/>
      <c r="F10" s="15"/>
      <c r="G10" s="15"/>
      <c r="H10" s="15"/>
      <c r="I10" s="15"/>
      <c r="J10" s="15"/>
      <c r="K10" s="98"/>
      <c r="L10" s="98"/>
      <c r="M10" s="56" t="s">
        <v>283</v>
      </c>
      <c r="N10" s="97"/>
      <c r="O10" s="15"/>
      <c r="P10" s="15"/>
      <c r="Q10" s="15"/>
      <c r="R10" s="16"/>
      <c r="S10" s="97"/>
      <c r="T10" s="97"/>
      <c r="U10" s="15"/>
      <c r="V10" s="17"/>
    </row>
    <row r="11" spans="1:22" ht="12" customHeight="1" thickTop="1">
      <c r="A11" s="440" t="s">
        <v>263</v>
      </c>
      <c r="B11" s="99">
        <v>0</v>
      </c>
      <c r="C11" s="27">
        <v>0</v>
      </c>
      <c r="D11" s="27">
        <v>0</v>
      </c>
      <c r="E11" s="99">
        <v>0</v>
      </c>
      <c r="F11" s="27">
        <v>0</v>
      </c>
      <c r="G11" s="99">
        <v>0</v>
      </c>
      <c r="H11" s="27">
        <v>0</v>
      </c>
      <c r="I11" s="27">
        <v>0</v>
      </c>
      <c r="J11" s="100">
        <v>0</v>
      </c>
      <c r="K11" s="47" t="s">
        <v>275</v>
      </c>
      <c r="L11" s="46" t="s">
        <v>77</v>
      </c>
      <c r="M11" s="27">
        <v>727291</v>
      </c>
      <c r="N11" s="27">
        <v>249114</v>
      </c>
      <c r="O11" s="99">
        <v>61732</v>
      </c>
      <c r="P11" s="99">
        <v>6417190</v>
      </c>
      <c r="Q11" s="99">
        <v>6409</v>
      </c>
      <c r="R11" s="99">
        <v>7461736</v>
      </c>
      <c r="S11" s="27">
        <v>0</v>
      </c>
      <c r="T11" s="27">
        <v>0</v>
      </c>
      <c r="U11" s="99">
        <v>7461736</v>
      </c>
      <c r="V11" s="443" t="s">
        <v>280</v>
      </c>
    </row>
    <row r="12" spans="1:22" ht="12" customHeight="1">
      <c r="A12" s="441"/>
      <c r="B12" s="21">
        <v>0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101">
        <v>0</v>
      </c>
      <c r="K12" s="45" t="s">
        <v>274</v>
      </c>
      <c r="L12" s="46" t="s">
        <v>403</v>
      </c>
      <c r="M12" s="21">
        <v>727291</v>
      </c>
      <c r="N12" s="21">
        <v>249114</v>
      </c>
      <c r="O12" s="21">
        <v>748822</v>
      </c>
      <c r="P12" s="21">
        <v>5625181</v>
      </c>
      <c r="Q12" s="21">
        <v>111328</v>
      </c>
      <c r="R12" s="21">
        <v>7461736</v>
      </c>
      <c r="S12" s="21">
        <v>0</v>
      </c>
      <c r="T12" s="21">
        <v>0</v>
      </c>
      <c r="U12" s="21">
        <v>7461736</v>
      </c>
      <c r="V12" s="444"/>
    </row>
    <row r="13" spans="1:22" ht="12" customHeight="1">
      <c r="A13" s="441"/>
      <c r="B13" s="21">
        <v>6337208</v>
      </c>
      <c r="C13" s="21">
        <v>0</v>
      </c>
      <c r="D13" s="21">
        <v>0</v>
      </c>
      <c r="E13" s="21">
        <v>6337208</v>
      </c>
      <c r="F13" s="21">
        <v>0</v>
      </c>
      <c r="G13" s="21">
        <v>5492094</v>
      </c>
      <c r="H13" s="21">
        <v>845114</v>
      </c>
      <c r="I13" s="21">
        <v>0</v>
      </c>
      <c r="J13" s="21">
        <v>0</v>
      </c>
      <c r="K13" s="22" t="s">
        <v>78</v>
      </c>
      <c r="L13" s="23" t="s">
        <v>79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6337208</v>
      </c>
      <c r="U13" s="21">
        <v>6337208</v>
      </c>
      <c r="V13" s="444"/>
    </row>
    <row r="14" spans="1:22" ht="12" customHeight="1">
      <c r="A14" s="441"/>
      <c r="B14" s="21">
        <v>6337208</v>
      </c>
      <c r="C14" s="21">
        <v>0</v>
      </c>
      <c r="D14" s="21">
        <v>0</v>
      </c>
      <c r="E14" s="21">
        <v>6337208</v>
      </c>
      <c r="F14" s="21">
        <v>104919</v>
      </c>
      <c r="G14" s="21">
        <v>4700085</v>
      </c>
      <c r="H14" s="21">
        <v>1532204</v>
      </c>
      <c r="I14" s="21">
        <v>0</v>
      </c>
      <c r="J14" s="21">
        <v>0</v>
      </c>
      <c r="K14" s="22" t="s">
        <v>80</v>
      </c>
      <c r="L14" s="23" t="s">
        <v>81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6337208</v>
      </c>
      <c r="U14" s="21">
        <v>6337208</v>
      </c>
      <c r="V14" s="444"/>
    </row>
    <row r="15" spans="1:22" ht="14.25" customHeight="1">
      <c r="A15" s="441"/>
      <c r="B15" s="21">
        <v>47061</v>
      </c>
      <c r="C15" s="21">
        <v>0</v>
      </c>
      <c r="D15" s="21">
        <v>0</v>
      </c>
      <c r="E15" s="21">
        <v>47061</v>
      </c>
      <c r="F15" s="21">
        <v>0</v>
      </c>
      <c r="G15" s="21">
        <v>0</v>
      </c>
      <c r="H15" s="21">
        <v>28647</v>
      </c>
      <c r="I15" s="21">
        <v>18414</v>
      </c>
      <c r="J15" s="21">
        <v>0</v>
      </c>
      <c r="K15" s="35" t="s">
        <v>82</v>
      </c>
      <c r="L15" s="23" t="s">
        <v>404</v>
      </c>
      <c r="M15" s="21">
        <v>0</v>
      </c>
      <c r="N15" s="21">
        <v>0</v>
      </c>
      <c r="O15" s="21">
        <v>0</v>
      </c>
      <c r="P15" s="21">
        <v>47061</v>
      </c>
      <c r="Q15" s="21">
        <v>0</v>
      </c>
      <c r="R15" s="21">
        <v>47061</v>
      </c>
      <c r="S15" s="21">
        <v>0</v>
      </c>
      <c r="T15" s="21">
        <v>0</v>
      </c>
      <c r="U15" s="21">
        <v>47061</v>
      </c>
      <c r="V15" s="444"/>
    </row>
    <row r="16" spans="1:22" ht="12" customHeight="1">
      <c r="A16" s="441"/>
      <c r="B16" s="24">
        <v>1124528</v>
      </c>
      <c r="C16" s="21">
        <v>0</v>
      </c>
      <c r="D16" s="21">
        <v>0</v>
      </c>
      <c r="E16" s="21">
        <v>1124528</v>
      </c>
      <c r="F16" s="21">
        <v>6409</v>
      </c>
      <c r="G16" s="21">
        <v>972157</v>
      </c>
      <c r="H16" s="21">
        <v>-812029</v>
      </c>
      <c r="I16" s="21">
        <v>230700</v>
      </c>
      <c r="J16" s="21">
        <v>727291</v>
      </c>
      <c r="K16" s="47" t="s">
        <v>276</v>
      </c>
      <c r="L16" s="46" t="s">
        <v>84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444"/>
    </row>
    <row r="17" spans="1:22" ht="12" customHeight="1" thickBot="1">
      <c r="A17" s="442"/>
      <c r="B17" s="26">
        <v>101821</v>
      </c>
      <c r="C17" s="26">
        <v>0</v>
      </c>
      <c r="D17" s="26">
        <v>101821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47" t="s">
        <v>277</v>
      </c>
      <c r="L17" s="46" t="s">
        <v>85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445"/>
    </row>
    <row r="18" spans="1:22" ht="12" customHeight="1" thickTop="1">
      <c r="A18" s="440" t="s">
        <v>373</v>
      </c>
      <c r="B18" s="102">
        <v>0</v>
      </c>
      <c r="C18" s="102">
        <v>0</v>
      </c>
      <c r="D18" s="102">
        <v>0</v>
      </c>
      <c r="E18" s="102">
        <v>0</v>
      </c>
      <c r="F18" s="102">
        <v>0</v>
      </c>
      <c r="G18" s="102">
        <v>0</v>
      </c>
      <c r="H18" s="102">
        <v>0</v>
      </c>
      <c r="I18" s="102">
        <v>0</v>
      </c>
      <c r="J18" s="87">
        <v>0</v>
      </c>
      <c r="K18" s="103" t="s">
        <v>274</v>
      </c>
      <c r="L18" s="104" t="s">
        <v>403</v>
      </c>
      <c r="M18" s="102">
        <v>727291</v>
      </c>
      <c r="N18" s="102">
        <v>249114</v>
      </c>
      <c r="O18" s="102">
        <v>748822</v>
      </c>
      <c r="P18" s="102">
        <v>5625181</v>
      </c>
      <c r="Q18" s="102">
        <v>111328</v>
      </c>
      <c r="R18" s="102">
        <v>7461736</v>
      </c>
      <c r="S18" s="102">
        <v>0</v>
      </c>
      <c r="T18" s="102">
        <v>0</v>
      </c>
      <c r="U18" s="102">
        <v>7461736</v>
      </c>
      <c r="V18" s="443" t="s">
        <v>373</v>
      </c>
    </row>
    <row r="19" spans="1:22" ht="12" customHeight="1">
      <c r="A19" s="441"/>
      <c r="B19" s="9">
        <v>6337208</v>
      </c>
      <c r="C19" s="9">
        <v>0</v>
      </c>
      <c r="D19" s="9">
        <v>0</v>
      </c>
      <c r="E19" s="9">
        <v>6337208</v>
      </c>
      <c r="F19" s="9">
        <v>104919</v>
      </c>
      <c r="G19" s="9">
        <v>4700085</v>
      </c>
      <c r="H19" s="9">
        <v>1532204</v>
      </c>
      <c r="I19" s="9">
        <v>0</v>
      </c>
      <c r="J19" s="9">
        <v>0</v>
      </c>
      <c r="K19" s="103" t="s">
        <v>374</v>
      </c>
      <c r="L19" s="104" t="s">
        <v>81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6337208</v>
      </c>
      <c r="U19" s="9">
        <v>6337208</v>
      </c>
      <c r="V19" s="444"/>
    </row>
    <row r="20" spans="1:22" ht="12" customHeight="1">
      <c r="A20" s="441"/>
      <c r="B20" s="12">
        <v>5492094</v>
      </c>
      <c r="C20" s="12">
        <v>0</v>
      </c>
      <c r="D20" s="12">
        <v>0</v>
      </c>
      <c r="E20" s="12">
        <v>5492094</v>
      </c>
      <c r="F20" s="12">
        <v>104919</v>
      </c>
      <c r="G20" s="12">
        <v>4700085</v>
      </c>
      <c r="H20" s="12">
        <v>687090</v>
      </c>
      <c r="I20" s="12">
        <v>0</v>
      </c>
      <c r="J20" s="38">
        <v>0</v>
      </c>
      <c r="K20" s="105" t="s">
        <v>375</v>
      </c>
      <c r="L20" s="106" t="s">
        <v>376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5492094</v>
      </c>
      <c r="U20" s="12">
        <v>5492094</v>
      </c>
      <c r="V20" s="444"/>
    </row>
    <row r="21" spans="1:22" ht="12" customHeight="1">
      <c r="A21" s="441"/>
      <c r="B21" s="12">
        <v>845114</v>
      </c>
      <c r="C21" s="12">
        <v>0</v>
      </c>
      <c r="D21" s="12">
        <v>0</v>
      </c>
      <c r="E21" s="12">
        <v>845114</v>
      </c>
      <c r="F21" s="12">
        <v>0</v>
      </c>
      <c r="G21" s="12">
        <v>0</v>
      </c>
      <c r="H21" s="12">
        <v>845114</v>
      </c>
      <c r="I21" s="12">
        <v>0</v>
      </c>
      <c r="J21" s="38">
        <v>0</v>
      </c>
      <c r="K21" s="105" t="s">
        <v>377</v>
      </c>
      <c r="L21" s="106" t="s">
        <v>378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845114</v>
      </c>
      <c r="U21" s="12">
        <v>845114</v>
      </c>
      <c r="V21" s="444"/>
    </row>
    <row r="22" spans="1:22" ht="11.25" customHeight="1">
      <c r="A22" s="441"/>
      <c r="B22" s="9">
        <v>47061</v>
      </c>
      <c r="C22" s="9">
        <v>0</v>
      </c>
      <c r="D22" s="9">
        <v>0</v>
      </c>
      <c r="E22" s="9">
        <v>47061</v>
      </c>
      <c r="F22" s="9">
        <v>0</v>
      </c>
      <c r="G22" s="9">
        <v>0</v>
      </c>
      <c r="H22" s="9">
        <v>28647</v>
      </c>
      <c r="I22" s="9">
        <v>18414</v>
      </c>
      <c r="J22" s="9">
        <v>0</v>
      </c>
      <c r="K22" s="35" t="s">
        <v>82</v>
      </c>
      <c r="L22" s="23" t="s">
        <v>404</v>
      </c>
      <c r="M22" s="9">
        <v>0</v>
      </c>
      <c r="N22" s="9">
        <v>0</v>
      </c>
      <c r="O22" s="9">
        <v>0</v>
      </c>
      <c r="P22" s="9">
        <v>47061</v>
      </c>
      <c r="Q22" s="9">
        <v>0</v>
      </c>
      <c r="R22" s="9">
        <v>47061</v>
      </c>
      <c r="S22" s="9">
        <v>0</v>
      </c>
      <c r="T22" s="9">
        <v>0</v>
      </c>
      <c r="U22" s="9">
        <v>47061</v>
      </c>
      <c r="V22" s="444"/>
    </row>
    <row r="23" spans="1:22" ht="12" customHeight="1" thickBot="1">
      <c r="A23" s="442"/>
      <c r="B23" s="107">
        <v>1124528</v>
      </c>
      <c r="C23" s="107">
        <v>0</v>
      </c>
      <c r="D23" s="107">
        <v>0</v>
      </c>
      <c r="E23" s="107">
        <v>1124528</v>
      </c>
      <c r="F23" s="107">
        <v>6409</v>
      </c>
      <c r="G23" s="107">
        <v>972157</v>
      </c>
      <c r="H23" s="107">
        <v>-812029</v>
      </c>
      <c r="I23" s="107">
        <v>230700</v>
      </c>
      <c r="J23" s="107">
        <v>727291</v>
      </c>
      <c r="K23" s="103" t="s">
        <v>276</v>
      </c>
      <c r="L23" s="104" t="s">
        <v>84</v>
      </c>
      <c r="M23" s="107">
        <v>0</v>
      </c>
      <c r="N23" s="107">
        <v>0</v>
      </c>
      <c r="O23" s="107">
        <v>0</v>
      </c>
      <c r="P23" s="107">
        <v>0</v>
      </c>
      <c r="Q23" s="107">
        <v>0</v>
      </c>
      <c r="R23" s="107">
        <v>0</v>
      </c>
      <c r="S23" s="107">
        <v>0</v>
      </c>
      <c r="T23" s="107">
        <v>0</v>
      </c>
      <c r="U23" s="107">
        <v>0</v>
      </c>
      <c r="V23" s="445"/>
    </row>
    <row r="24" spans="1:22" ht="12" customHeight="1" thickTop="1">
      <c r="A24" s="440" t="s">
        <v>379</v>
      </c>
      <c r="B24" s="102">
        <v>0</v>
      </c>
      <c r="C24" s="102">
        <v>0</v>
      </c>
      <c r="D24" s="102">
        <v>0</v>
      </c>
      <c r="E24" s="102">
        <v>0</v>
      </c>
      <c r="F24" s="102">
        <v>0</v>
      </c>
      <c r="G24" s="102">
        <v>0</v>
      </c>
      <c r="H24" s="102">
        <v>0</v>
      </c>
      <c r="I24" s="102">
        <v>0</v>
      </c>
      <c r="J24" s="108">
        <v>0</v>
      </c>
      <c r="K24" s="105" t="s">
        <v>274</v>
      </c>
      <c r="L24" s="104" t="s">
        <v>403</v>
      </c>
      <c r="M24" s="9">
        <v>727291</v>
      </c>
      <c r="N24" s="9">
        <v>249114</v>
      </c>
      <c r="O24" s="9">
        <v>748822</v>
      </c>
      <c r="P24" s="9">
        <v>5625181</v>
      </c>
      <c r="Q24" s="9">
        <v>111328</v>
      </c>
      <c r="R24" s="9">
        <v>7461736</v>
      </c>
      <c r="S24" s="9">
        <v>0</v>
      </c>
      <c r="T24" s="9">
        <v>0</v>
      </c>
      <c r="U24" s="9">
        <v>7461736</v>
      </c>
      <c r="V24" s="443" t="s">
        <v>379</v>
      </c>
    </row>
    <row r="25" spans="1:22" ht="12" customHeight="1">
      <c r="A25" s="441"/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38">
        <v>0</v>
      </c>
      <c r="K25" s="105" t="s">
        <v>275</v>
      </c>
      <c r="L25" s="104" t="s">
        <v>77</v>
      </c>
      <c r="M25" s="9">
        <v>727291</v>
      </c>
      <c r="N25" s="9">
        <v>249114</v>
      </c>
      <c r="O25" s="9">
        <v>61732</v>
      </c>
      <c r="P25" s="9">
        <v>6417190</v>
      </c>
      <c r="Q25" s="9">
        <v>6409</v>
      </c>
      <c r="R25" s="9">
        <v>7461736</v>
      </c>
      <c r="S25" s="9">
        <v>0</v>
      </c>
      <c r="T25" s="9">
        <v>0</v>
      </c>
      <c r="U25" s="9">
        <v>7461736</v>
      </c>
      <c r="V25" s="444"/>
    </row>
    <row r="26" spans="1:22" ht="12" customHeight="1">
      <c r="A26" s="441"/>
      <c r="B26" s="12">
        <v>792009</v>
      </c>
      <c r="C26" s="12">
        <v>0</v>
      </c>
      <c r="D26" s="12">
        <v>0</v>
      </c>
      <c r="E26" s="12">
        <v>792009</v>
      </c>
      <c r="F26" s="12">
        <v>104919</v>
      </c>
      <c r="G26" s="12">
        <v>0</v>
      </c>
      <c r="H26" s="12">
        <v>687090</v>
      </c>
      <c r="I26" s="12">
        <v>0</v>
      </c>
      <c r="J26" s="109">
        <v>0</v>
      </c>
      <c r="K26" s="105" t="s">
        <v>380</v>
      </c>
      <c r="L26" s="110" t="s">
        <v>381</v>
      </c>
      <c r="M26" s="121">
        <v>0</v>
      </c>
      <c r="N26" s="12">
        <v>0</v>
      </c>
      <c r="O26" s="12">
        <v>0</v>
      </c>
      <c r="P26" s="12">
        <v>792009</v>
      </c>
      <c r="Q26" s="12">
        <v>0</v>
      </c>
      <c r="R26" s="12">
        <v>792009</v>
      </c>
      <c r="S26" s="12">
        <v>0</v>
      </c>
      <c r="T26" s="12">
        <v>0</v>
      </c>
      <c r="U26" s="12">
        <v>792009</v>
      </c>
      <c r="V26" s="444"/>
    </row>
    <row r="27" spans="1:22" ht="12" customHeight="1">
      <c r="A27" s="441"/>
      <c r="B27" s="9">
        <v>6337208</v>
      </c>
      <c r="C27" s="9">
        <v>0</v>
      </c>
      <c r="D27" s="9">
        <v>0</v>
      </c>
      <c r="E27" s="9">
        <v>6337208</v>
      </c>
      <c r="F27" s="9">
        <v>0</v>
      </c>
      <c r="G27" s="9">
        <v>5492094</v>
      </c>
      <c r="H27" s="9">
        <v>845114</v>
      </c>
      <c r="I27" s="9">
        <v>0</v>
      </c>
      <c r="J27" s="38">
        <v>0</v>
      </c>
      <c r="K27" s="105" t="s">
        <v>382</v>
      </c>
      <c r="L27" s="104" t="s">
        <v>79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444"/>
    </row>
    <row r="28" spans="1:22" ht="12" customHeight="1">
      <c r="A28" s="441"/>
      <c r="B28" s="111">
        <v>5492094</v>
      </c>
      <c r="C28" s="111">
        <v>0</v>
      </c>
      <c r="D28" s="111">
        <v>0</v>
      </c>
      <c r="E28" s="111">
        <v>5492094</v>
      </c>
      <c r="F28" s="111">
        <v>0</v>
      </c>
      <c r="G28" s="111">
        <v>5492094</v>
      </c>
      <c r="H28" s="111">
        <v>0</v>
      </c>
      <c r="I28" s="111">
        <v>0</v>
      </c>
      <c r="J28" s="112">
        <v>0</v>
      </c>
      <c r="K28" s="113" t="s">
        <v>383</v>
      </c>
      <c r="L28" s="114" t="s">
        <v>384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444"/>
    </row>
    <row r="29" spans="1:22" ht="12" customHeight="1">
      <c r="A29" s="441"/>
      <c r="B29" s="111">
        <v>845114</v>
      </c>
      <c r="C29" s="111">
        <v>0</v>
      </c>
      <c r="D29" s="111">
        <v>0</v>
      </c>
      <c r="E29" s="111">
        <v>845114</v>
      </c>
      <c r="F29" s="111">
        <v>0</v>
      </c>
      <c r="G29" s="111">
        <v>0</v>
      </c>
      <c r="H29" s="111">
        <v>845114</v>
      </c>
      <c r="I29" s="111">
        <v>0</v>
      </c>
      <c r="J29" s="112">
        <v>0</v>
      </c>
      <c r="K29" s="113" t="s">
        <v>385</v>
      </c>
      <c r="L29" s="114" t="s">
        <v>386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444"/>
    </row>
    <row r="30" spans="1:22" ht="11.25" customHeight="1">
      <c r="A30" s="441"/>
      <c r="B30" s="9">
        <v>47061</v>
      </c>
      <c r="C30" s="9">
        <v>0</v>
      </c>
      <c r="D30" s="9">
        <v>0</v>
      </c>
      <c r="E30" s="9">
        <v>47061</v>
      </c>
      <c r="F30" s="9">
        <v>0</v>
      </c>
      <c r="G30" s="9">
        <v>0</v>
      </c>
      <c r="H30" s="9">
        <v>28647</v>
      </c>
      <c r="I30" s="9">
        <v>18414</v>
      </c>
      <c r="J30" s="9">
        <v>0</v>
      </c>
      <c r="K30" s="35" t="s">
        <v>82</v>
      </c>
      <c r="L30" s="23" t="s">
        <v>404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444"/>
    </row>
    <row r="31" spans="1:22" ht="12" customHeight="1">
      <c r="A31" s="441"/>
      <c r="B31" s="9">
        <v>1124528</v>
      </c>
      <c r="C31" s="9">
        <v>0</v>
      </c>
      <c r="D31" s="9">
        <v>0</v>
      </c>
      <c r="E31" s="9">
        <v>1124528</v>
      </c>
      <c r="F31" s="9">
        <v>6409</v>
      </c>
      <c r="G31" s="9">
        <v>972157</v>
      </c>
      <c r="H31" s="9">
        <v>-812029</v>
      </c>
      <c r="I31" s="9">
        <v>230700</v>
      </c>
      <c r="J31" s="38">
        <v>727291</v>
      </c>
      <c r="K31" s="115" t="s">
        <v>276</v>
      </c>
      <c r="L31" s="116" t="s">
        <v>84</v>
      </c>
      <c r="M31" s="117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444"/>
    </row>
    <row r="32" spans="1:22" ht="12" customHeight="1" thickBot="1">
      <c r="A32" s="442"/>
      <c r="B32" s="107">
        <v>101821</v>
      </c>
      <c r="C32" s="107">
        <v>0</v>
      </c>
      <c r="D32" s="107">
        <v>101821</v>
      </c>
      <c r="E32" s="107">
        <v>0</v>
      </c>
      <c r="F32" s="107">
        <v>0</v>
      </c>
      <c r="G32" s="107">
        <v>0</v>
      </c>
      <c r="H32" s="107">
        <v>0</v>
      </c>
      <c r="I32" s="107">
        <v>0</v>
      </c>
      <c r="J32" s="107">
        <v>0</v>
      </c>
      <c r="K32" s="118" t="s">
        <v>277</v>
      </c>
      <c r="L32" s="119" t="s">
        <v>85</v>
      </c>
      <c r="M32" s="107">
        <v>0</v>
      </c>
      <c r="N32" s="107">
        <v>0</v>
      </c>
      <c r="O32" s="107">
        <v>0</v>
      </c>
      <c r="P32" s="107">
        <v>0</v>
      </c>
      <c r="Q32" s="107">
        <v>0</v>
      </c>
      <c r="R32" s="107">
        <v>0</v>
      </c>
      <c r="S32" s="107">
        <v>0</v>
      </c>
      <c r="T32" s="107">
        <v>0</v>
      </c>
      <c r="U32" s="107">
        <v>0</v>
      </c>
      <c r="V32" s="445"/>
    </row>
    <row r="33" spans="1:1" s="53" customFormat="1" ht="15" customHeight="1" thickTop="1">
      <c r="A33" s="53" t="s">
        <v>106</v>
      </c>
    </row>
  </sheetData>
  <mergeCells count="29">
    <mergeCell ref="A24:A32"/>
    <mergeCell ref="V24:V32"/>
    <mergeCell ref="A8:V8"/>
    <mergeCell ref="A11:A17"/>
    <mergeCell ref="V11:V17"/>
    <mergeCell ref="A18:A23"/>
    <mergeCell ref="V18:V23"/>
    <mergeCell ref="Q4:Q7"/>
    <mergeCell ref="R4:R7"/>
    <mergeCell ref="U4:U7"/>
    <mergeCell ref="V4:V7"/>
    <mergeCell ref="S5:S7"/>
    <mergeCell ref="T5:T7"/>
    <mergeCell ref="M4:M7"/>
    <mergeCell ref="N4:N7"/>
    <mergeCell ref="O4:O7"/>
    <mergeCell ref="P4:P7"/>
    <mergeCell ref="I4:I7"/>
    <mergeCell ref="J4:J7"/>
    <mergeCell ref="K4:K7"/>
    <mergeCell ref="L4:L7"/>
    <mergeCell ref="G4:G7"/>
    <mergeCell ref="H4:H7"/>
    <mergeCell ref="C5:C7"/>
    <mergeCell ref="D5:D7"/>
    <mergeCell ref="A4:A7"/>
    <mergeCell ref="B4:B7"/>
    <mergeCell ref="E4:E7"/>
    <mergeCell ref="F4:F7"/>
  </mergeCells>
  <phoneticPr fontId="0" type="noConversion"/>
  <printOptions horizontalCentered="1"/>
  <pageMargins left="0" right="0" top="0.19685039370078741" bottom="0.19685039370078741" header="0" footer="0"/>
  <pageSetup paperSize="9" fitToHeight="5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9AD7-4C4D-4F2B-99ED-71C5812E64E2}">
  <dimension ref="B3:H4"/>
  <sheetViews>
    <sheetView zoomScale="250" zoomScaleNormal="250" workbookViewId="0">
      <selection activeCell="E13" sqref="E13"/>
    </sheetView>
  </sheetViews>
  <sheetFormatPr defaultRowHeight="8.25"/>
  <sheetData>
    <row r="3" spans="2:8">
      <c r="B3" t="s">
        <v>570</v>
      </c>
      <c r="C3" t="s">
        <v>560</v>
      </c>
      <c r="D3" t="s">
        <v>571</v>
      </c>
      <c r="E3" t="s">
        <v>572</v>
      </c>
      <c r="F3" t="s">
        <v>560</v>
      </c>
      <c r="H3" t="s">
        <v>415</v>
      </c>
    </row>
    <row r="4" spans="2:8">
      <c r="B4">
        <v>100</v>
      </c>
      <c r="C4">
        <v>399.998855347632</v>
      </c>
      <c r="D4">
        <f>SUM(B4:C4)</f>
        <v>499.998855347632</v>
      </c>
      <c r="E4">
        <v>0.8</v>
      </c>
      <c r="F4">
        <f>D4*E4</f>
        <v>399.99908427810561</v>
      </c>
      <c r="H4">
        <f>(F4-C4)^2*10000</f>
        <v>5.2409161747731274E-4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linhas</vt:lpstr>
      <vt:lpstr>setores</vt:lpstr>
      <vt:lpstr>CEI</vt:lpstr>
      <vt:lpstr>CEIResumida</vt:lpstr>
      <vt:lpstr>Python</vt:lpstr>
      <vt:lpstr>ParâmetrosCEI</vt:lpstr>
      <vt:lpstr>Original</vt:lpstr>
      <vt:lpstr>ParâmeetrosTRU</vt:lpstr>
      <vt:lpstr>Matriz consumo</vt:lpstr>
      <vt:lpstr>SimulCEI</vt:lpstr>
      <vt:lpstr>SimulCEI2</vt:lpstr>
      <vt:lpstr>SimulTRU2</vt:lpstr>
      <vt:lpstr>SimulTRU</vt:lpstr>
      <vt:lpstr>CEI_detalhamento</vt:lpstr>
      <vt:lpstr>Planilha1</vt:lpstr>
    </vt:vector>
  </TitlesOfParts>
  <Company>I.B.G.E.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IBGE</dc:creator>
  <cp:lastModifiedBy>Nikolas Schiozer</cp:lastModifiedBy>
  <cp:lastPrinted>2018-12-11T14:48:15Z</cp:lastPrinted>
  <dcterms:created xsi:type="dcterms:W3CDTF">1999-11-24T18:19:53Z</dcterms:created>
  <dcterms:modified xsi:type="dcterms:W3CDTF">2026-07-31T04:47:21Z</dcterms:modified>
</cp:coreProperties>
</file>